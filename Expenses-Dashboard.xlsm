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Accounts\Downloads\"/>
    </mc:Choice>
  </mc:AlternateContent>
  <bookViews>
    <workbookView xWindow="-105" yWindow="-105" windowWidth="23250" windowHeight="12450" activeTab="1"/>
  </bookViews>
  <sheets>
    <sheet name="Dashboard" sheetId="5" r:id="rId1"/>
    <sheet name="Data" sheetId="1" r:id="rId2"/>
    <sheet name="Pivot" sheetId="4" r:id="rId3"/>
  </sheets>
  <definedNames>
    <definedName name="Slicer_Department">#N/A</definedName>
    <definedName name="Slicer_Month">#N/A</definedName>
  </definedNames>
  <calcPr calcId="152511"/>
  <pivotCaches>
    <pivotCache cacheId="115"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4" l="1"/>
  <c r="N56" i="4"/>
  <c r="M56" i="4"/>
  <c r="O55" i="4"/>
  <c r="N55" i="4"/>
  <c r="M55" i="4"/>
  <c r="O54" i="4"/>
  <c r="N54" i="4"/>
  <c r="M54" i="4"/>
  <c r="O53" i="4"/>
  <c r="N53" i="4"/>
  <c r="M53" i="4"/>
  <c r="O52" i="4"/>
  <c r="N52" i="4"/>
  <c r="M52" i="4"/>
  <c r="O51" i="4"/>
  <c r="N51" i="4"/>
  <c r="M51" i="4"/>
  <c r="K54" i="4"/>
  <c r="J54" i="4"/>
  <c r="K53" i="4"/>
  <c r="J53" i="4"/>
  <c r="K52" i="4"/>
  <c r="J52" i="4"/>
  <c r="K51" i="4"/>
  <c r="J51" i="4"/>
  <c r="H62" i="4"/>
  <c r="G62" i="4"/>
  <c r="H61" i="4"/>
  <c r="G61" i="4"/>
  <c r="H60" i="4"/>
  <c r="G60" i="4"/>
  <c r="H59" i="4"/>
  <c r="G59" i="4"/>
  <c r="H58" i="4"/>
  <c r="G58" i="4"/>
  <c r="H57" i="4"/>
  <c r="G57" i="4"/>
  <c r="H56" i="4"/>
  <c r="G56" i="4"/>
  <c r="H55" i="4"/>
  <c r="G55" i="4"/>
  <c r="H54" i="4"/>
  <c r="G54" i="4"/>
  <c r="H53" i="4"/>
  <c r="G53" i="4"/>
  <c r="H52" i="4"/>
  <c r="G52" i="4"/>
  <c r="H51" i="4"/>
  <c r="G51" i="4"/>
  <c r="E58" i="4"/>
  <c r="D58" i="4"/>
  <c r="E57" i="4"/>
  <c r="D57" i="4"/>
  <c r="E56" i="4"/>
  <c r="D56" i="4"/>
  <c r="E55" i="4"/>
  <c r="D55" i="4"/>
  <c r="E54" i="4"/>
  <c r="D54" i="4"/>
  <c r="E53" i="4"/>
  <c r="D53" i="4"/>
  <c r="E52" i="4"/>
  <c r="D52" i="4"/>
  <c r="E51" i="4"/>
  <c r="D51" i="4"/>
  <c r="B56" i="4"/>
  <c r="A56" i="4"/>
  <c r="B55" i="4"/>
  <c r="A55" i="4"/>
  <c r="B54" i="4"/>
  <c r="A54" i="4"/>
  <c r="B53" i="4"/>
  <c r="A53" i="4"/>
  <c r="B52" i="4"/>
  <c r="A52" i="4"/>
  <c r="B51" i="4"/>
  <c r="A51" i="4"/>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3" i="5"/>
  <c r="AF2" i="5"/>
  <c r="AF5" i="5"/>
  <c r="AF4" i="5"/>
  <c r="AF7" i="5" l="1"/>
  <c r="AF6" i="5"/>
</calcChain>
</file>

<file path=xl/sharedStrings.xml><?xml version="1.0" encoding="utf-8"?>
<sst xmlns="http://schemas.openxmlformats.org/spreadsheetml/2006/main" count="3409" uniqueCount="939">
  <si>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</si>
  <si>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</si>
  <si>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</si>
  <si>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</si>
  <si>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</si>
  <si>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</si>
  <si>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</si>
  <si>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</si>
  <si>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</si>
  <si>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</si>
  <si>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</si>
  <si>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</si>
  <si>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</si>
  <si>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</si>
  <si>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</si>
  <si>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</si>
  <si>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</si>
  <si>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</si>
  <si>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</si>
  <si>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</si>
  <si>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</si>
  <si>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</si>
  <si>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</si>
  <si>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</si>
  <si>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</si>
  <si>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</si>
  <si>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</si>
  <si>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</si>
  <si>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</si>
  <si>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</si>
  <si>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</si>
  <si>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</si>
  <si>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</si>
  <si>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</si>
  <si>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</si>
  <si>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</si>
  <si>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</si>
  <si>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</si>
  <si>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</si>
  <si>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</si>
  <si>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</si>
  <si>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</si>
  <si>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</si>
  <si>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</si>
  <si>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</si>
  <si>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</si>
  <si>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</si>
  <si>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</si>
  <si>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</si>
  <si>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</si>
  <si>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</si>
  <si>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</si>
  <si>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</si>
  <si>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</si>
  <si>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</si>
  <si>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</si>
  <si>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</si>
  <si>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</si>
  <si>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</si>
  <si>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</si>
  <si>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</si>
  <si>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</si>
  <si>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</si>
  <si>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</si>
  <si>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</si>
  <si>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</si>
  <si>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</si>
  <si>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</si>
  <si>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</si>
  <si>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</si>
  <si>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</si>
  <si>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</si>
  <si>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</si>
  <si>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</si>
  <si>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</si>
  <si>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</si>
  <si>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</si>
  <si>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</si>
  <si>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</si>
  <si>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</si>
  <si>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</si>
  <si>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</si>
  <si>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</si>
  <si>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</si>
  <si>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</si>
  <si>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</si>
  <si>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</si>
  <si>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</si>
  <si>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</si>
  <si>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</si>
  <si>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</si>
  <si>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</si>
  <si>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</si>
  <si>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</si>
  <si>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</si>
  <si>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</si>
  <si>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</si>
  <si>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</si>
  <si>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</si>
  <si>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</si>
  <si>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</si>
  <si>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</si>
  <si>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</si>
  <si>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</si>
  <si>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</si>
  <si>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</si>
  <si>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</si>
  <si>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</si>
  <si>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</si>
  <si>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</si>
  <si>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</si>
  <si>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</si>
  <si>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</si>
  <si>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</si>
  <si>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</si>
  <si>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</si>
  <si>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</si>
  <si>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</si>
  <si>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</si>
  <si>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</si>
  <si>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</si>
  <si>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</si>
  <si>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</si>
  <si>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</si>
  <si>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</si>
  <si>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</si>
  <si>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</si>
  <si>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</si>
  <si>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</si>
  <si>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</si>
  <si>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</si>
  <si>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</si>
  <si>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</si>
  <si>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</si>
  <si>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</si>
  <si>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</si>
  <si>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</si>
  <si>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</si>
  <si>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</si>
  <si>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</si>
  <si>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</si>
  <si>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</si>
  <si>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</si>
  <si>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</si>
  <si>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</si>
  <si>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</si>
  <si>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</si>
  <si>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</si>
  <si>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</si>
  <si>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</si>
  <si>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</si>
  <si>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</si>
  <si>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</si>
  <si>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</si>
  <si>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</si>
  <si>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</si>
  <si>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</si>
  <si>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</si>
  <si>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</si>
  <si>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</si>
  <si>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</si>
  <si>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</si>
  <si>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</si>
  <si>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</si>
  <si>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</si>
  <si>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</si>
  <si>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</si>
  <si>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</si>
  <si>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</si>
  <si>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</si>
  <si>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</si>
  <si>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</si>
  <si>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</si>
  <si>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</si>
  <si>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</si>
  <si>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</si>
  <si>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</si>
  <si>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</si>
  <si>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</si>
  <si>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</si>
  <si>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</si>
  <si>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</si>
  <si>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</si>
  <si>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</si>
  <si>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</si>
  <si>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</si>
  <si>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</si>
  <si>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</si>
  <si>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</si>
  <si>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</si>
  <si>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</si>
  <si>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</si>
  <si>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</si>
  <si>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</si>
  <si>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</si>
  <si>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</si>
  <si>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</si>
  <si>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</si>
  <si>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</si>
  <si>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</si>
  <si>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</si>
  <si>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</si>
  <si>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</si>
  <si>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</si>
  <si>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</si>
  <si>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</si>
  <si>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</si>
  <si>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</si>
  <si>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</si>
  <si>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</si>
  <si>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</si>
  <si>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</si>
  <si>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</si>
  <si>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</si>
  <si>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</si>
  <si>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</si>
  <si>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</si>
  <si>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</si>
  <si>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</si>
  <si>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</si>
  <si>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</si>
  <si>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</si>
  <si>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</si>
  <si>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</si>
  <si>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</si>
  <si>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</si>
  <si>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</si>
  <si>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</si>
  <si>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</si>
  <si>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</si>
  <si>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</si>
  <si>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</si>
  <si>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</si>
  <si>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</si>
  <si>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</si>
  <si>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</si>
  <si>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</si>
  <si>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</si>
  <si>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</si>
  <si>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</si>
  <si>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</si>
  <si>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</si>
  <si>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</si>
  <si>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</si>
  <si>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</si>
  <si>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</si>
  <si>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</si>
  <si>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</si>
  <si>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</si>
  <si>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</si>
  <si>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</si>
  <si>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</si>
  <si>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</si>
  <si>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</si>
  <si>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</si>
  <si>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</si>
  <si>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</si>
  <si>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</si>
  <si>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</si>
  <si>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</si>
  <si>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</si>
  <si>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</si>
  <si>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</si>
  <si>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</si>
  <si>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</si>
  <si>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</si>
  <si>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</si>
  <si>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</si>
  <si>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</si>
  <si>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</si>
  <si>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</si>
  <si>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</si>
  <si>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</si>
  <si>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</si>
  <si>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</si>
  <si>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</si>
  <si>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</si>
  <si>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</si>
  <si>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</si>
  <si>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</si>
  <si>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</si>
  <si>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</si>
  <si>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</si>
  <si>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</si>
  <si>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</si>
  <si>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</si>
  <si>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</si>
  <si>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</si>
  <si>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</si>
  <si>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</si>
  <si>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</si>
  <si>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</si>
  <si>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</si>
  <si>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</si>
  <si>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</si>
  <si>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</si>
  <si>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</si>
  <si>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</si>
  <si>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</si>
  <si>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</si>
  <si>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</si>
  <si>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</si>
  <si>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</si>
  <si>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</si>
  <si>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</si>
  <si>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</si>
  <si>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</si>
  <si>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</si>
  <si>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</si>
  <si>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</si>
  <si>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</si>
  <si>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</si>
  <si>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</si>
  <si>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</si>
  <si>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</si>
  <si>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</si>
  <si>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</si>
  <si>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</si>
  <si>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</si>
  <si>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</si>
  <si>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</si>
  <si>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</si>
  <si>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</si>
  <si>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</si>
  <si>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</si>
  <si>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</si>
  <si>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</si>
  <si>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</si>
  <si>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</si>
  <si>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</si>
  <si>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</si>
  <si>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</si>
  <si>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</si>
  <si>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</si>
  <si>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</si>
  <si>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</si>
  <si>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</si>
  <si>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</si>
  <si>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</si>
  <si>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</si>
  <si>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</si>
  <si>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</si>
  <si>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</si>
  <si>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</si>
  <si>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</si>
  <si>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</si>
  <si>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</si>
  <si>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</si>
  <si>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</si>
  <si>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</si>
  <si>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</si>
  <si>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</si>
  <si>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</si>
  <si>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</si>
  <si>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</si>
  <si>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</si>
  <si>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</si>
  <si>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</si>
  <si>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</si>
  <si>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</si>
  <si>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</si>
  <si>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</si>
  <si>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</si>
  <si>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</si>
  <si>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</si>
  <si>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</si>
  <si>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</si>
  <si>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</si>
  <si>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</si>
  <si>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</si>
  <si>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</si>
  <si>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</si>
  <si>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</si>
  <si>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</si>
  <si>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</si>
  <si>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</si>
  <si>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</si>
  <si>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</si>
  <si>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</si>
  <si>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</si>
  <si>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</si>
  <si>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</si>
  <si>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</si>
  <si>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</si>
  <si>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</si>
  <si>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</si>
  <si>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</si>
  <si>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</si>
  <si>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</si>
  <si>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</si>
  <si>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</si>
  <si>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</si>
  <si>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</si>
  <si>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</si>
  <si>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</si>
  <si>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</si>
  <si>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</si>
  <si>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</si>
  <si>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</si>
  <si>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</si>
  <si>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</si>
  <si>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</si>
  <si>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</si>
  <si>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</si>
  <si>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</si>
  <si>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</si>
  <si>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</si>
  <si>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</si>
  <si>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</si>
  <si>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</si>
  <si>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</si>
  <si>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</si>
  <si>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</si>
  <si>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</si>
  <si>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</si>
  <si>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</si>
  <si>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</si>
  <si>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</si>
  <si>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</si>
  <si>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</si>
  <si>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</si>
  <si>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</si>
  <si>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</si>
  <si>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</si>
  <si>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</si>
  <si>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</si>
  <si>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</si>
  <si>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</si>
  <si>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</si>
  <si>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</si>
  <si>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</si>
  <si>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</si>
  <si>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</si>
  <si>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</si>
  <si>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</si>
  <si>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</si>
  <si>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</si>
  <si>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</si>
  <si>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</si>
  <si>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</si>
  <si>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</si>
  <si>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</si>
  <si>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</si>
  <si>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</si>
  <si>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</si>
  <si>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</si>
  <si>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</si>
  <si>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</si>
  <si>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</si>
  <si>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</si>
  <si>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</si>
  <si>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</si>
  <si>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</si>
  <si>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</si>
  <si>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</si>
  <si>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</si>
  <si>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</si>
  <si>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</si>
  <si>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</si>
  <si>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</si>
  <si>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</si>
  <si>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</si>
  <si>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</si>
  <si>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</si>
  <si>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</si>
  <si>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</si>
  <si>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</si>
  <si>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</si>
  <si>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</si>
  <si>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</si>
  <si>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</si>
  <si>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</si>
  <si>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</si>
  <si>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</si>
  <si>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</si>
  <si>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</si>
  <si>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</si>
  <si>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</si>
  <si>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</si>
  <si>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</si>
  <si>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</si>
  <si>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</si>
  <si>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</si>
  <si>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</si>
  <si>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</si>
  <si>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</si>
  <si>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</si>
  <si>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</si>
  <si>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</si>
  <si>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</si>
  <si>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</si>
  <si>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</si>
  <si>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</si>
  <si>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</si>
  <si>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</si>
  <si>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</si>
  <si>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</si>
  <si>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</si>
  <si>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</si>
  <si>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</si>
  <si>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</si>
  <si>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</si>
  <si>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</si>
  <si>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</si>
  <si>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</si>
  <si>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</si>
  <si>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</si>
  <si>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</si>
  <si>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</si>
  <si>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</si>
  <si>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</si>
  <si>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</si>
  <si>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</si>
  <si>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</si>
  <si>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</si>
  <si>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</si>
  <si>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</si>
  <si>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</si>
  <si>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</si>
  <si>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</si>
  <si>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</si>
  <si>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</si>
  <si>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</si>
  <si>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</si>
  <si>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</si>
  <si>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</si>
  <si>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</si>
  <si>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</si>
  <si>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</si>
  <si>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</si>
  <si>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</si>
  <si>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</si>
  <si>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</si>
  <si>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</si>
  <si>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</si>
  <si>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</si>
  <si>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</si>
  <si>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</si>
  <si>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</si>
  <si>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</si>
  <si>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</si>
  <si>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</si>
  <si>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</si>
  <si>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</si>
  <si>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</si>
  <si>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</si>
  <si>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</si>
  <si>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</si>
  <si>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</si>
  <si>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</si>
  <si>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</si>
  <si>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</si>
  <si>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</si>
  <si>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</si>
  <si>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</si>
  <si>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</si>
  <si>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</si>
  <si>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</si>
  <si>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</si>
  <si>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</si>
  <si>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</si>
  <si>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</si>
  <si>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</si>
  <si>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</si>
  <si>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</si>
  <si>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</si>
  <si>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</si>
  <si>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</si>
  <si>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</si>
  <si>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</si>
  <si>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</si>
  <si>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</si>
  <si>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</si>
  <si>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</si>
  <si>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</si>
  <si>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</si>
  <si>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</si>
  <si>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</si>
  <si>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</si>
  <si>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</si>
  <si>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</si>
  <si>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</si>
  <si>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</si>
  <si>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</si>
  <si>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</si>
  <si>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</si>
  <si>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</si>
  <si>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</si>
  <si>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</si>
  <si>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</si>
  <si>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</si>
  <si>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</si>
  <si>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</si>
  <si>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</si>
  <si>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</si>
  <si>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</si>
  <si>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</si>
  <si>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</si>
  <si>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</si>
  <si>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</si>
  <si>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</si>
  <si>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</si>
  <si>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</si>
  <si>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</si>
  <si>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</si>
  <si>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</si>
  <si>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</si>
  <si>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</si>
  <si>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</si>
  <si>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</si>
  <si>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</si>
  <si>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</si>
  <si>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</si>
  <si>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</si>
  <si>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</si>
  <si>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</si>
  <si>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</si>
  <si>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</si>
  <si>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</si>
  <si>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</si>
  <si>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</si>
  <si>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</si>
  <si>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</si>
  <si>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</si>
  <si>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</si>
  <si>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</si>
  <si>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</si>
  <si>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</si>
  <si>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</si>
  <si>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</si>
  <si>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</si>
  <si>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</si>
  <si>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</si>
  <si>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</si>
  <si>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</si>
  <si>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</si>
  <si>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</si>
  <si>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</si>
  <si>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</si>
  <si>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</si>
  <si>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</si>
  <si>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</si>
  <si>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</si>
  <si>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</si>
  <si>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</si>
  <si>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</si>
  <si>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</si>
  <si>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</si>
  <si>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</si>
  <si>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</si>
  <si>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</si>
  <si>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</si>
  <si>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</si>
  <si>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</si>
  <si>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</si>
  <si>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</si>
  <si>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</si>
  <si>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</si>
  <si>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</si>
  <si>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</si>
  <si>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</si>
  <si>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</si>
  <si>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</si>
  <si>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</si>
  <si>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</si>
  <si>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</si>
  <si>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</si>
  <si>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</si>
  <si>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</si>
  <si>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</si>
  <si>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</si>
  <si>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</si>
  <si>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</si>
  <si>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</si>
  <si>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</si>
  <si>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</si>
  <si>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</si>
  <si>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</si>
  <si>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</si>
  <si>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</si>
  <si>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</si>
  <si>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</si>
  <si>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</si>
  <si>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</si>
  <si>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</si>
  <si>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</si>
  <si>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</si>
  <si>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</si>
  <si>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</si>
  <si>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</si>
  <si>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</si>
  <si>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</si>
  <si>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</si>
  <si>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</si>
  <si>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</si>
  <si>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</si>
  <si>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</si>
  <si>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</si>
  <si>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</si>
  <si>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</si>
  <si>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</si>
  <si>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</si>
  <si>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</si>
  <si>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</si>
  <si>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</si>
  <si>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</si>
  <si>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</si>
  <si>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</si>
  <si>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</si>
  <si>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</si>
  <si>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</si>
  <si>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</si>
  <si>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</si>
  <si>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</si>
  <si>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</si>
  <si>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</si>
  <si>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</si>
  <si>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</si>
  <si>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</si>
  <si>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</si>
  <si>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</si>
  <si>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</si>
  <si>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</si>
  <si>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</si>
  <si>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</si>
  <si>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</si>
  <si>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</si>
  <si>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</si>
  <si>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</si>
  <si>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</si>
  <si>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</si>
  <si>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</si>
  <si>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</si>
  <si>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</si>
  <si>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</si>
  <si>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</si>
  <si>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</si>
  <si>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</si>
  <si>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</si>
  <si>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</si>
  <si>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</si>
  <si>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</si>
  <si>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</si>
  <si>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</si>
  <si>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</si>
  <si>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</si>
  <si>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</si>
  <si>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</si>
  <si>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</si>
  <si>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</si>
  <si>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</si>
  <si>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</si>
  <si>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</si>
  <si>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</si>
  <si>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</si>
  <si>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</si>
  <si>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</si>
  <si>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</si>
  <si>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</si>
  <si>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</si>
  <si>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</si>
  <si>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</si>
  <si>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</si>
  <si>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</si>
  <si>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</si>
  <si>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</si>
  <si>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</si>
  <si>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</si>
  <si>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</si>
  <si>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</si>
  <si>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</si>
  <si>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</si>
  <si>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</si>
  <si>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</si>
  <si>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</si>
  <si>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</si>
  <si>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</si>
  <si>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</si>
  <si>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</si>
  <si>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</si>
  <si>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</si>
  <si>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</si>
  <si>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</si>
  <si>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</si>
  <si>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</si>
  <si>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</si>
  <si>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</si>
  <si>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</si>
  <si>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</si>
  <si>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</si>
  <si>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</si>
  <si>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</si>
  <si>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</si>
  <si>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</si>
  <si>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</si>
  <si>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</si>
  <si>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</si>
  <si>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</si>
  <si>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</si>
  <si>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</si>
  <si>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</si>
  <si>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</si>
  <si>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</si>
  <si>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</si>
  <si>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</si>
  <si>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</si>
  <si>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</si>
  <si>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</si>
  <si>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</si>
  <si>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</si>
  <si>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</si>
  <si>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</si>
  <si>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</si>
  <si>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</si>
  <si>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</si>
  <si>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</si>
  <si>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</si>
  <si>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</si>
  <si>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</si>
  <si>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</si>
  <si>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</si>
  <si>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</si>
  <si>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</si>
  <si>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</si>
  <si>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</si>
  <si>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</si>
  <si>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</si>
  <si>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</si>
  <si>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</si>
  <si>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</si>
  <si>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</si>
  <si>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</si>
  <si>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</si>
  <si>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</si>
  <si>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</si>
  <si>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</si>
  <si>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</si>
  <si>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</si>
  <si>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</si>
  <si>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</si>
  <si>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</si>
  <si>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</si>
  <si>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</si>
  <si>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</si>
  <si>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</si>
  <si>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</si>
  <si>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</si>
  <si>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</si>
  <si>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</si>
  <si>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</si>
  <si>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</si>
  <si>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</si>
  <si>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</si>
  <si>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</si>
  <si>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</si>
  <si>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</si>
  <si>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</si>
  <si>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</si>
  <si>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</si>
  <si>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</si>
  <si>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</si>
  <si>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</si>
  <si>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</si>
  <si>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</si>
  <si>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</si>
  <si>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</si>
  <si>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</si>
  <si>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</si>
  <si>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</si>
  <si>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</si>
  <si>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</si>
  <si>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</si>
  <si>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</si>
  <si>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</si>
  <si>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</si>
  <si>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</si>
  <si>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</si>
  <si>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</si>
  <si>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</si>
  <si>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</si>
  <si>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</si>
  <si>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</si>
  <si>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</si>
  <si>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</si>
  <si>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</si>
  <si>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</si>
  <si>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</si>
  <si>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</si>
  <si>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</si>
  <si>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</si>
  <si>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</si>
  <si>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</si>
  <si>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</si>
  <si>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</si>
  <si>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</si>
  <si>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</si>
  <si>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</si>
  <si>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</si>
  <si>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</si>
  <si>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</si>
  <si>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</si>
  <si>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</si>
  <si>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</si>
  <si>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</si>
  <si>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</si>
  <si>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</si>
  <si>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</si>
  <si>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</si>
  <si>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</si>
  <si>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</si>
  <si>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</si>
  <si>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</si>
  <si>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</si>
  <si>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</si>
  <si>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</si>
  <si>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</si>
  <si>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</si>
  <si>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</si>
  <si>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</si>
  <si>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</si>
  <si>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</si>
  <si>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</si>
  <si>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Feb</t>
  </si>
  <si>
    <t>Mar</t>
  </si>
  <si>
    <t>Apr</t>
  </si>
  <si>
    <t>May</t>
  </si>
  <si>
    <t>Jun</t>
  </si>
  <si>
    <t>Jul</t>
  </si>
  <si>
    <t>Aug</t>
  </si>
  <si>
    <t>Sep</t>
  </si>
  <si>
    <t>Oct</t>
  </si>
  <si>
    <t>Nov</t>
  </si>
  <si>
    <t>Dec</t>
  </si>
  <si>
    <t>Values</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</si>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</sst>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m\-yyyy"/>
    <numFmt numFmtId="165" formatCode="#,##0,&quot;K&quot;"/>
    <numFmt numFmtId="166" formatCode="0.0%"/>
  </numFmts>
  <fonts count="3">
    <font>
      <sz val="11"/>
      <color theme="1"/>
      <name val="Aptos Narrow"/>
      <family val="2"/>
      <scheme val="minor"/>
    </font>
    <font>
      <b/>
      <sz val="11"/>
      <color rgb="FFFFFFFF"/>
      <name val="Aptos Narrow"/>
      <scheme val="minor"/>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0" fillId="0" borderId="0" xfId="0" applyNumberFormat="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78">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numFmt numFmtId="3" formatCode="#,##0"/>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layout/>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ser>
        <c:dLbls>
          <c:showLegendKey val="0"/>
          <c:showVal val="0"/>
          <c:showCatName val="0"/>
          <c:showSerName val="0"/>
          <c:showPercent val="0"/>
          <c:showBubbleSize val="0"/>
        </c:dLbls>
        <c:gapWidth val="150"/>
        <c:axId val="314609648"/>
        <c:axId val="314610432"/>
      </c:barChart>
      <c:catAx>
        <c:axId val="314609648"/>
        <c:scaling>
          <c:orientation val="minMax"/>
        </c:scaling>
        <c:delete val="0"/>
        <c:axPos val="b"/>
        <c:numFmt formatCode="General" sourceLinked="1"/>
        <c:majorTickMark val="out"/>
        <c:minorTickMark val="none"/>
        <c:tickLblPos val="nextTo"/>
        <c:spPr>
          <a:ln>
            <a:solidFill>
              <a:srgbClr val="D2D2D2"/>
            </a:solidFill>
          </a:ln>
        </c:spPr>
        <c:crossAx val="314610432"/>
        <c:crosses val="autoZero"/>
        <c:auto val="1"/>
        <c:lblAlgn val="ctr"/>
        <c:lblOffset val="100"/>
        <c:noMultiLvlLbl val="0"/>
      </c:catAx>
      <c:valAx>
        <c:axId val="314610432"/>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14609648"/>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layout/>
      <c:overlay val="0"/>
    </c:title>
    <c:autoTitleDeleted val="0"/>
    <c:plotArea>
      <c:layout>
        <c:manualLayout>
          <c:xMode val="edge"/>
          <c:yMode val="edge"/>
          <c:x val="3.8166618034678641E-2"/>
          <c:y val="0.14074066246440139"/>
          <c:w val="0.26295455779158777"/>
          <c:h val="0.75620915195929861"/>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dPt>
          <c:dPt>
            <c:idx val="1"/>
            <c:bubble3D val="0"/>
            <c:spPr>
              <a:solidFill>
                <a:srgbClr val="84C637"/>
              </a:solidFill>
              <a:ln>
                <a:solidFill>
                  <a:srgbClr val="FFFFFF"/>
                </a:solidFill>
              </a:ln>
            </c:spPr>
          </c:dPt>
          <c:dPt>
            <c:idx val="2"/>
            <c:bubble3D val="0"/>
            <c:spPr>
              <a:solidFill>
                <a:srgbClr val="5DB13A"/>
              </a:solidFill>
              <a:ln>
                <a:solidFill>
                  <a:srgbClr val="FFFFFF"/>
                </a:solidFill>
              </a:ln>
            </c:spPr>
          </c:dPt>
          <c:dPt>
            <c:idx val="3"/>
            <c:bubble3D val="0"/>
            <c:spPr>
              <a:solidFill>
                <a:srgbClr val="168A96"/>
              </a:solidFill>
              <a:ln>
                <a:solidFill>
                  <a:srgbClr val="FFFFFF"/>
                </a:solidFill>
              </a:ln>
            </c:spPr>
          </c:dPt>
          <c:dPt>
            <c:idx val="4"/>
            <c:bubble3D val="0"/>
            <c:spPr>
              <a:solidFill>
                <a:srgbClr val="7030A0"/>
              </a:solidFill>
              <a:ln>
                <a:solidFill>
                  <a:srgbClr val="FFFFFF"/>
                </a:solidFill>
              </a:ln>
            </c:spPr>
          </c:dPt>
          <c:dPt>
            <c:idx val="5"/>
            <c:bubble3D val="0"/>
            <c:spPr>
              <a:solidFill>
                <a:srgbClr val="618724"/>
              </a:solidFill>
              <a:ln>
                <a:solidFill>
                  <a:srgbClr val="FFFFFF"/>
                </a:solidFill>
              </a:ln>
            </c:spPr>
          </c:dPt>
          <c:dPt>
            <c:idx val="6"/>
            <c:bubble3D val="0"/>
            <c:spPr>
              <a:solidFill>
                <a:srgbClr val="91A0AA"/>
              </a:solidFill>
              <a:ln>
                <a:solidFill>
                  <a:srgbClr val="FFFFFF"/>
                </a:solidFill>
              </a:ln>
            </c:spPr>
          </c:dPt>
          <c:dPt>
            <c:idx val="7"/>
            <c:bubble3D val="0"/>
            <c:spPr>
              <a:solidFill>
                <a:srgbClr val="ED7D31"/>
              </a:solidFill>
              <a:ln>
                <a:solidFill>
                  <a:srgbClr val="FFFFFF"/>
                </a:solidFill>
              </a:ln>
            </c:spPr>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ext>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49554483666082466"/>
          <c:y val="0.15043572844521794"/>
          <c:w val="0.43757423198343515"/>
          <c:h val="0.72592587611370996"/>
        </c:manualLayout>
      </c:layout>
      <c:overlay val="0"/>
      <c:txPr>
        <a:bodyPr/>
        <a:lstStyle/>
        <a:p>
          <a:pPr>
            <a:defRPr sz="1200"/>
          </a:pPr>
          <a:endParaRPr lang="en-US"/>
        </a:p>
      </c:txPr>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layout/>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5400">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ser>
        <c:dLbls>
          <c:showLegendKey val="0"/>
          <c:showVal val="0"/>
          <c:showCatName val="0"/>
          <c:showSerName val="0"/>
          <c:showPercent val="0"/>
          <c:showBubbleSize val="0"/>
        </c:dLbls>
        <c:marker val="1"/>
        <c:smooth val="0"/>
        <c:axId val="315060352"/>
        <c:axId val="315053296"/>
      </c:lineChart>
      <c:catAx>
        <c:axId val="315060352"/>
        <c:scaling>
          <c:orientation val="minMax"/>
        </c:scaling>
        <c:delete val="0"/>
        <c:axPos val="b"/>
        <c:numFmt formatCode="General" sourceLinked="1"/>
        <c:majorTickMark val="out"/>
        <c:minorTickMark val="none"/>
        <c:tickLblPos val="nextTo"/>
        <c:spPr>
          <a:ln>
            <a:solidFill>
              <a:srgbClr val="D2D2D2"/>
            </a:solidFill>
          </a:ln>
        </c:spPr>
        <c:crossAx val="315053296"/>
        <c:crosses val="autoZero"/>
        <c:auto val="1"/>
        <c:lblAlgn val="ctr"/>
        <c:lblOffset val="100"/>
        <c:noMultiLvlLbl val="0"/>
      </c:catAx>
      <c:valAx>
        <c:axId val="315053296"/>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15060352"/>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layout/>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ser>
        <c:dLbls>
          <c:showLegendKey val="0"/>
          <c:showVal val="0"/>
          <c:showCatName val="0"/>
          <c:showSerName val="0"/>
          <c:showPercent val="0"/>
          <c:showBubbleSize val="0"/>
        </c:dLbls>
        <c:gapWidth val="150"/>
        <c:axId val="314607688"/>
        <c:axId val="314611216"/>
      </c:barChart>
      <c:catAx>
        <c:axId val="314607688"/>
        <c:scaling>
          <c:orientation val="minMax"/>
        </c:scaling>
        <c:delete val="0"/>
        <c:axPos val="b"/>
        <c:numFmt formatCode="General" sourceLinked="1"/>
        <c:majorTickMark val="out"/>
        <c:minorTickMark val="none"/>
        <c:tickLblPos val="nextTo"/>
        <c:spPr>
          <a:ln>
            <a:solidFill>
              <a:srgbClr val="D2D2D2"/>
            </a:solidFill>
          </a:ln>
        </c:spPr>
        <c:crossAx val="314611216"/>
        <c:crosses val="autoZero"/>
        <c:auto val="1"/>
        <c:lblAlgn val="ctr"/>
        <c:lblOffset val="100"/>
        <c:noMultiLvlLbl val="0"/>
      </c:catAx>
      <c:valAx>
        <c:axId val="314611216"/>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14607688"/>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layout/>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ser>
        <c:dLbls>
          <c:showLegendKey val="0"/>
          <c:showVal val="0"/>
          <c:showCatName val="0"/>
          <c:showSerName val="0"/>
          <c:showPercent val="0"/>
          <c:showBubbleSize val="0"/>
        </c:dLbls>
        <c:gapWidth val="70"/>
        <c:axId val="316743144"/>
        <c:axId val="316738832"/>
      </c:barChart>
      <c:catAx>
        <c:axId val="316743144"/>
        <c:scaling>
          <c:orientation val="minMax"/>
        </c:scaling>
        <c:delete val="0"/>
        <c:axPos val="l"/>
        <c:numFmt formatCode="General" sourceLinked="1"/>
        <c:majorTickMark val="out"/>
        <c:minorTickMark val="none"/>
        <c:tickLblPos val="nextTo"/>
        <c:spPr>
          <a:ln>
            <a:solidFill>
              <a:srgbClr val="D2D2D2"/>
            </a:solidFill>
          </a:ln>
        </c:spPr>
        <c:crossAx val="316738832"/>
        <c:crosses val="autoZero"/>
        <c:auto val="1"/>
        <c:lblAlgn val="ctr"/>
        <c:lblOffset val="100"/>
        <c:noMultiLvlLbl val="0"/>
      </c:catAx>
      <c:valAx>
        <c:axId val="316738832"/>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16743144"/>
        <c:crosses val="autoZero"/>
        <c:crossBetween val="between"/>
      </c:valAx>
      <c:spPr>
        <a:solidFill>
          <a:srgbClr val="FFFFFF"/>
        </a:solidFill>
      </c:spPr>
    </c:plotArea>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xdr:cNvSpPr/>
      </xdr:nvSpPr>
      <xdr:spPr>
        <a:xfrm>
          <a:off x="0" y="0"/>
          <a:ext cx="18002250" cy="828675"/>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147638</xdr:rowOff>
    </xdr:from>
    <xdr:to>
      <xdr:col>1</xdr:col>
      <xdr:colOff>85725</xdr:colOff>
      <xdr:row>2</xdr:row>
      <xdr:rowOff>128588</xdr:rowOff>
    </xdr:to>
    <xdr:sp macro="" textlink="">
      <xdr:nvSpPr>
        <xdr:cNvPr id="3" name="Oval 2"/>
        <xdr:cNvSpPr/>
      </xdr:nvSpPr>
      <xdr:spPr>
        <a:xfrm>
          <a:off x="152400" y="147638"/>
          <a:ext cx="533400" cy="533400"/>
        </a:xfrm>
        <a:prstGeom prst="ellipse">
          <a:avLst/>
        </a:prstGeom>
        <a:solidFill>
          <a:srgbClr val="0C581E"/>
        </a:solidFill>
        <a:ln>
          <a:solidFill>
            <a:srgbClr val="E6F5E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187325</xdr:colOff>
      <xdr:row>0</xdr:row>
      <xdr:rowOff>0</xdr:rowOff>
    </xdr:from>
    <xdr:to>
      <xdr:col>25</xdr:col>
      <xdr:colOff>358775</xdr:colOff>
      <xdr:row>3</xdr:row>
      <xdr:rowOff>0</xdr:rowOff>
    </xdr:to>
    <xdr:sp macro="" textlink="">
      <xdr:nvSpPr>
        <xdr:cNvPr id="4" name="TextBox 3"/>
        <xdr:cNvSpPr txBox="1"/>
      </xdr:nvSpPr>
      <xdr:spPr>
        <a:xfrm>
          <a:off x="787400" y="0"/>
          <a:ext cx="14573250" cy="8286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460375</xdr:colOff>
      <xdr:row>0</xdr:row>
      <xdr:rowOff>50800</xdr:rowOff>
    </xdr:from>
    <xdr:to>
      <xdr:col>29</xdr:col>
      <xdr:colOff>473075</xdr:colOff>
      <xdr:row>2</xdr:row>
      <xdr:rowOff>225425</xdr:rowOff>
    </xdr:to>
    <xdr:sp macro="" textlink="">
      <xdr:nvSpPr>
        <xdr:cNvPr id="5" name="TextBox 4"/>
        <xdr:cNvSpPr txBox="1"/>
      </xdr:nvSpPr>
      <xdr:spPr>
        <a:xfrm>
          <a:off x="15462250" y="50800"/>
          <a:ext cx="2413000" cy="7270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Jul 09,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ounded Rectangle 5"/>
        <xdr:cNvSpPr/>
      </xdr:nvSpPr>
      <xdr:spPr>
        <a:xfrm>
          <a:off x="0"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9525</xdr:colOff>
      <xdr:row>7</xdr:row>
      <xdr:rowOff>0</xdr:rowOff>
    </xdr:to>
    <xdr:sp macro="" textlink="">
      <xdr:nvSpPr>
        <xdr:cNvPr id="7" name="Oval 6"/>
        <xdr:cNvSpPr/>
      </xdr:nvSpPr>
      <xdr:spPr>
        <a:xfrm>
          <a:off x="127000" y="1260475"/>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85725</xdr:colOff>
      <xdr:row>4</xdr:row>
      <xdr:rowOff>101600</xdr:rowOff>
    </xdr:from>
    <xdr:to>
      <xdr:col>4</xdr:col>
      <xdr:colOff>549275</xdr:colOff>
      <xdr:row>5</xdr:row>
      <xdr:rowOff>152400</xdr:rowOff>
    </xdr:to>
    <xdr:sp macro="" textlink="">
      <xdr:nvSpPr>
        <xdr:cNvPr id="8" name="TextBox 7"/>
        <xdr:cNvSpPr txBox="1"/>
      </xdr:nvSpPr>
      <xdr:spPr>
        <a:xfrm>
          <a:off x="68580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85725</xdr:colOff>
      <xdr:row>5</xdr:row>
      <xdr:rowOff>139700</xdr:rowOff>
    </xdr:from>
    <xdr:to>
      <xdr:col>4</xdr:col>
      <xdr:colOff>549275</xdr:colOff>
      <xdr:row>7</xdr:row>
      <xdr:rowOff>114300</xdr:rowOff>
    </xdr:to>
    <xdr:sp macro="" textlink="Dashboard!$AF$2">
      <xdr:nvSpPr>
        <xdr:cNvPr id="9" name="TextBox 8"/>
        <xdr:cNvSpPr txBox="1"/>
      </xdr:nvSpPr>
      <xdr:spPr>
        <a:xfrm>
          <a:off x="68580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319B33D-03CB-4191-930D-5BA07946A169}" type="TxLink">
            <a:rPr lang="en-US" sz="2800" b="1" i="0" u="none" strike="noStrike">
              <a:solidFill>
                <a:srgbClr val="054A19"/>
              </a:solidFill>
              <a:latin typeface="Aptos"/>
            </a:rPr>
            <a:t>18,405K</a:t>
          </a:fld>
          <a:endParaRPr lang="en-IN" sz="2800" b="1">
            <a:solidFill>
              <a:srgbClr val="054A19"/>
            </a:solidFill>
          </a:endParaRPr>
        </a:p>
      </xdr:txBody>
    </xdr:sp>
    <xdr:clientData/>
  </xdr:twoCellAnchor>
  <xdr:twoCellAnchor>
    <xdr:from>
      <xdr:col>1</xdr:col>
      <xdr:colOff>85725</xdr:colOff>
      <xdr:row>7</xdr:row>
      <xdr:rowOff>50800</xdr:rowOff>
    </xdr:from>
    <xdr:to>
      <xdr:col>4</xdr:col>
      <xdr:colOff>549275</xdr:colOff>
      <xdr:row>7</xdr:row>
      <xdr:rowOff>215900</xdr:rowOff>
    </xdr:to>
    <xdr:sp macro="" textlink="">
      <xdr:nvSpPr>
        <xdr:cNvPr id="10" name="TextBox 9"/>
        <xdr:cNvSpPr txBox="1"/>
      </xdr:nvSpPr>
      <xdr:spPr>
        <a:xfrm>
          <a:off x="68580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ounded Rectangle 10"/>
        <xdr:cNvSpPr/>
      </xdr:nvSpPr>
      <xdr:spPr>
        <a:xfrm>
          <a:off x="3000375"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9525</xdr:colOff>
      <xdr:row>7</xdr:row>
      <xdr:rowOff>0</xdr:rowOff>
    </xdr:to>
    <xdr:sp macro="" textlink="">
      <xdr:nvSpPr>
        <xdr:cNvPr id="12" name="Oval 11"/>
        <xdr:cNvSpPr/>
      </xdr:nvSpPr>
      <xdr:spPr>
        <a:xfrm>
          <a:off x="3127375" y="1260475"/>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85725</xdr:colOff>
      <xdr:row>4</xdr:row>
      <xdr:rowOff>101600</xdr:rowOff>
    </xdr:from>
    <xdr:to>
      <xdr:col>9</xdr:col>
      <xdr:colOff>549275</xdr:colOff>
      <xdr:row>5</xdr:row>
      <xdr:rowOff>152400</xdr:rowOff>
    </xdr:to>
    <xdr:sp macro="" textlink="">
      <xdr:nvSpPr>
        <xdr:cNvPr id="13" name="TextBox 12"/>
        <xdr:cNvSpPr txBox="1"/>
      </xdr:nvSpPr>
      <xdr:spPr>
        <a:xfrm>
          <a:off x="368617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85725</xdr:colOff>
      <xdr:row>5</xdr:row>
      <xdr:rowOff>139700</xdr:rowOff>
    </xdr:from>
    <xdr:to>
      <xdr:col>9</xdr:col>
      <xdr:colOff>549275</xdr:colOff>
      <xdr:row>7</xdr:row>
      <xdr:rowOff>114300</xdr:rowOff>
    </xdr:to>
    <xdr:sp macro="" textlink="Dashboard!$AF$3">
      <xdr:nvSpPr>
        <xdr:cNvPr id="14" name="TextBox 13"/>
        <xdr:cNvSpPr txBox="1"/>
      </xdr:nvSpPr>
      <xdr:spPr>
        <a:xfrm>
          <a:off x="368617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AC4407E-110F-4FB8-B1CB-BFF18D787DE8}" type="TxLink">
            <a:rPr lang="en-US" sz="2800" b="1" i="0" u="none" strike="noStrike">
              <a:solidFill>
                <a:srgbClr val="054A19"/>
              </a:solidFill>
              <a:latin typeface="Aptos"/>
            </a:rPr>
            <a:t>22,954K</a:t>
          </a:fld>
          <a:endParaRPr lang="en-IN" sz="2800" b="1">
            <a:solidFill>
              <a:srgbClr val="054A19"/>
            </a:solidFill>
          </a:endParaRPr>
        </a:p>
      </xdr:txBody>
    </xdr:sp>
    <xdr:clientData/>
  </xdr:twoCellAnchor>
  <xdr:twoCellAnchor>
    <xdr:from>
      <xdr:col>6</xdr:col>
      <xdr:colOff>85725</xdr:colOff>
      <xdr:row>7</xdr:row>
      <xdr:rowOff>50800</xdr:rowOff>
    </xdr:from>
    <xdr:to>
      <xdr:col>9</xdr:col>
      <xdr:colOff>549275</xdr:colOff>
      <xdr:row>7</xdr:row>
      <xdr:rowOff>215900</xdr:rowOff>
    </xdr:to>
    <xdr:sp macro="" textlink="">
      <xdr:nvSpPr>
        <xdr:cNvPr id="15" name="TextBox 14"/>
        <xdr:cNvSpPr txBox="1"/>
      </xdr:nvSpPr>
      <xdr:spPr>
        <a:xfrm>
          <a:off x="368617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ounded Rectangle 15"/>
        <xdr:cNvSpPr/>
      </xdr:nvSpPr>
      <xdr:spPr>
        <a:xfrm>
          <a:off x="6000750"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9525</xdr:colOff>
      <xdr:row>7</xdr:row>
      <xdr:rowOff>0</xdr:rowOff>
    </xdr:to>
    <xdr:sp macro="" textlink="">
      <xdr:nvSpPr>
        <xdr:cNvPr id="17" name="Oval 16"/>
        <xdr:cNvSpPr/>
      </xdr:nvSpPr>
      <xdr:spPr>
        <a:xfrm>
          <a:off x="6127750" y="1260475"/>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85725</xdr:colOff>
      <xdr:row>4</xdr:row>
      <xdr:rowOff>101600</xdr:rowOff>
    </xdr:from>
    <xdr:to>
      <xdr:col>14</xdr:col>
      <xdr:colOff>549275</xdr:colOff>
      <xdr:row>5</xdr:row>
      <xdr:rowOff>152400</xdr:rowOff>
    </xdr:to>
    <xdr:sp macro="" textlink="">
      <xdr:nvSpPr>
        <xdr:cNvPr id="18" name="TextBox 17"/>
        <xdr:cNvSpPr txBox="1"/>
      </xdr:nvSpPr>
      <xdr:spPr>
        <a:xfrm>
          <a:off x="668655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85725</xdr:colOff>
      <xdr:row>5</xdr:row>
      <xdr:rowOff>139700</xdr:rowOff>
    </xdr:from>
    <xdr:to>
      <xdr:col>14</xdr:col>
      <xdr:colOff>549275</xdr:colOff>
      <xdr:row>7</xdr:row>
      <xdr:rowOff>114300</xdr:rowOff>
    </xdr:to>
    <xdr:sp macro="" textlink="Dashboard!$AF$4">
      <xdr:nvSpPr>
        <xdr:cNvPr id="19" name="TextBox 18"/>
        <xdr:cNvSpPr txBox="1"/>
      </xdr:nvSpPr>
      <xdr:spPr>
        <a:xfrm>
          <a:off x="668655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086D2736-3494-45E6-81D6-940078AB472E}" type="TxLink">
            <a:rPr lang="en-US" sz="2800" b="1" i="0" u="none" strike="noStrike">
              <a:solidFill>
                <a:srgbClr val="054A19"/>
              </a:solidFill>
              <a:latin typeface="Aptos"/>
            </a:rPr>
            <a:t>4,549K</a:t>
          </a:fld>
          <a:endParaRPr lang="en-IN" sz="2800" b="1">
            <a:solidFill>
              <a:srgbClr val="054A19"/>
            </a:solidFill>
          </a:endParaRPr>
        </a:p>
      </xdr:txBody>
    </xdr:sp>
    <xdr:clientData/>
  </xdr:twoCellAnchor>
  <xdr:twoCellAnchor>
    <xdr:from>
      <xdr:col>11</xdr:col>
      <xdr:colOff>85725</xdr:colOff>
      <xdr:row>7</xdr:row>
      <xdr:rowOff>50800</xdr:rowOff>
    </xdr:from>
    <xdr:to>
      <xdr:col>14</xdr:col>
      <xdr:colOff>549275</xdr:colOff>
      <xdr:row>7</xdr:row>
      <xdr:rowOff>215900</xdr:rowOff>
    </xdr:to>
    <xdr:sp macro="" textlink="">
      <xdr:nvSpPr>
        <xdr:cNvPr id="20" name="TextBox 19"/>
        <xdr:cNvSpPr txBox="1"/>
      </xdr:nvSpPr>
      <xdr:spPr>
        <a:xfrm>
          <a:off x="668655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ounded Rectangle 20"/>
        <xdr:cNvSpPr/>
      </xdr:nvSpPr>
      <xdr:spPr>
        <a:xfrm>
          <a:off x="9001125"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9525</xdr:colOff>
      <xdr:row>7</xdr:row>
      <xdr:rowOff>0</xdr:rowOff>
    </xdr:to>
    <xdr:sp macro="" textlink="">
      <xdr:nvSpPr>
        <xdr:cNvPr id="22" name="Oval 21"/>
        <xdr:cNvSpPr/>
      </xdr:nvSpPr>
      <xdr:spPr>
        <a:xfrm>
          <a:off x="9128125" y="1260475"/>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85725</xdr:colOff>
      <xdr:row>4</xdr:row>
      <xdr:rowOff>101600</xdr:rowOff>
    </xdr:from>
    <xdr:to>
      <xdr:col>19</xdr:col>
      <xdr:colOff>549275</xdr:colOff>
      <xdr:row>5</xdr:row>
      <xdr:rowOff>152400</xdr:rowOff>
    </xdr:to>
    <xdr:sp macro="" textlink="">
      <xdr:nvSpPr>
        <xdr:cNvPr id="23" name="TextBox 22"/>
        <xdr:cNvSpPr txBox="1"/>
      </xdr:nvSpPr>
      <xdr:spPr>
        <a:xfrm>
          <a:off x="968692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85725</xdr:colOff>
      <xdr:row>5</xdr:row>
      <xdr:rowOff>139700</xdr:rowOff>
    </xdr:from>
    <xdr:to>
      <xdr:col>19</xdr:col>
      <xdr:colOff>549275</xdr:colOff>
      <xdr:row>7</xdr:row>
      <xdr:rowOff>114300</xdr:rowOff>
    </xdr:to>
    <xdr:sp macro="" textlink="Dashboard!$AF$5">
      <xdr:nvSpPr>
        <xdr:cNvPr id="24" name="TextBox 23"/>
        <xdr:cNvSpPr txBox="1"/>
      </xdr:nvSpPr>
      <xdr:spPr>
        <a:xfrm>
          <a:off x="968692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60594E8-097F-4944-B2EC-0F029B9C1736}" type="TxLink">
            <a:rPr lang="en-US" sz="2800" b="1" i="0" u="none" strike="noStrike">
              <a:solidFill>
                <a:srgbClr val="054A19"/>
              </a:solidFill>
              <a:latin typeface="Aptos"/>
            </a:rPr>
            <a:t>415</a:t>
          </a:fld>
          <a:endParaRPr lang="en-IN" sz="2800" b="1">
            <a:solidFill>
              <a:srgbClr val="054A19"/>
            </a:solidFill>
          </a:endParaRPr>
        </a:p>
      </xdr:txBody>
    </xdr:sp>
    <xdr:clientData/>
  </xdr:twoCellAnchor>
  <xdr:twoCellAnchor>
    <xdr:from>
      <xdr:col>16</xdr:col>
      <xdr:colOff>85725</xdr:colOff>
      <xdr:row>7</xdr:row>
      <xdr:rowOff>50800</xdr:rowOff>
    </xdr:from>
    <xdr:to>
      <xdr:col>19</xdr:col>
      <xdr:colOff>549275</xdr:colOff>
      <xdr:row>7</xdr:row>
      <xdr:rowOff>215900</xdr:rowOff>
    </xdr:to>
    <xdr:sp macro="" textlink="">
      <xdr:nvSpPr>
        <xdr:cNvPr id="25" name="TextBox 24"/>
        <xdr:cNvSpPr txBox="1"/>
      </xdr:nvSpPr>
      <xdr:spPr>
        <a:xfrm>
          <a:off x="968692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ounded Rectangle 25"/>
        <xdr:cNvSpPr/>
      </xdr:nvSpPr>
      <xdr:spPr>
        <a:xfrm>
          <a:off x="12001500"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9525</xdr:colOff>
      <xdr:row>7</xdr:row>
      <xdr:rowOff>0</xdr:rowOff>
    </xdr:to>
    <xdr:sp macro="" textlink="">
      <xdr:nvSpPr>
        <xdr:cNvPr id="27" name="Oval 26"/>
        <xdr:cNvSpPr/>
      </xdr:nvSpPr>
      <xdr:spPr>
        <a:xfrm>
          <a:off x="12128500" y="1260475"/>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85725</xdr:colOff>
      <xdr:row>4</xdr:row>
      <xdr:rowOff>101600</xdr:rowOff>
    </xdr:from>
    <xdr:to>
      <xdr:col>24</xdr:col>
      <xdr:colOff>549275</xdr:colOff>
      <xdr:row>5</xdr:row>
      <xdr:rowOff>152400</xdr:rowOff>
    </xdr:to>
    <xdr:sp macro="" textlink="">
      <xdr:nvSpPr>
        <xdr:cNvPr id="28" name="TextBox 27"/>
        <xdr:cNvSpPr txBox="1"/>
      </xdr:nvSpPr>
      <xdr:spPr>
        <a:xfrm>
          <a:off x="1268730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85725</xdr:colOff>
      <xdr:row>5</xdr:row>
      <xdr:rowOff>139700</xdr:rowOff>
    </xdr:from>
    <xdr:to>
      <xdr:col>24</xdr:col>
      <xdr:colOff>549275</xdr:colOff>
      <xdr:row>7</xdr:row>
      <xdr:rowOff>114300</xdr:rowOff>
    </xdr:to>
    <xdr:sp macro="" textlink="Dashboard!$AF$6">
      <xdr:nvSpPr>
        <xdr:cNvPr id="29" name="TextBox 28"/>
        <xdr:cNvSpPr txBox="1"/>
      </xdr:nvSpPr>
      <xdr:spPr>
        <a:xfrm>
          <a:off x="1268730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B9C9C34-8A15-46A9-A624-E32F252744CF}" type="TxLink">
            <a:rPr lang="en-US" sz="2800" b="1" i="0" u="none" strike="noStrike">
              <a:solidFill>
                <a:srgbClr val="054A19"/>
              </a:solidFill>
              <a:latin typeface="Aptos"/>
            </a:rPr>
            <a:t>81.4%</a:t>
          </a:fld>
          <a:endParaRPr lang="en-IN" sz="2800" b="1">
            <a:solidFill>
              <a:srgbClr val="054A19"/>
            </a:solidFill>
          </a:endParaRPr>
        </a:p>
      </xdr:txBody>
    </xdr:sp>
    <xdr:clientData/>
  </xdr:twoCellAnchor>
  <xdr:twoCellAnchor>
    <xdr:from>
      <xdr:col>21</xdr:col>
      <xdr:colOff>85725</xdr:colOff>
      <xdr:row>7</xdr:row>
      <xdr:rowOff>50800</xdr:rowOff>
    </xdr:from>
    <xdr:to>
      <xdr:col>24</xdr:col>
      <xdr:colOff>549275</xdr:colOff>
      <xdr:row>7</xdr:row>
      <xdr:rowOff>215900</xdr:rowOff>
    </xdr:to>
    <xdr:sp macro="" textlink="">
      <xdr:nvSpPr>
        <xdr:cNvPr id="30" name="TextBox 29"/>
        <xdr:cNvSpPr txBox="1"/>
      </xdr:nvSpPr>
      <xdr:spPr>
        <a:xfrm>
          <a:off x="1268730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ounded Rectangle 30"/>
        <xdr:cNvSpPr/>
      </xdr:nvSpPr>
      <xdr:spPr>
        <a:xfrm>
          <a:off x="15001875"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9525</xdr:colOff>
      <xdr:row>7</xdr:row>
      <xdr:rowOff>0</xdr:rowOff>
    </xdr:to>
    <xdr:sp macro="" textlink="">
      <xdr:nvSpPr>
        <xdr:cNvPr id="32" name="Oval 31"/>
        <xdr:cNvSpPr/>
      </xdr:nvSpPr>
      <xdr:spPr>
        <a:xfrm>
          <a:off x="15128875" y="1260475"/>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85725</xdr:colOff>
      <xdr:row>4</xdr:row>
      <xdr:rowOff>101600</xdr:rowOff>
    </xdr:from>
    <xdr:to>
      <xdr:col>29</xdr:col>
      <xdr:colOff>549275</xdr:colOff>
      <xdr:row>5</xdr:row>
      <xdr:rowOff>152400</xdr:rowOff>
    </xdr:to>
    <xdr:sp macro="" textlink="">
      <xdr:nvSpPr>
        <xdr:cNvPr id="33" name="TextBox 32"/>
        <xdr:cNvSpPr txBox="1"/>
      </xdr:nvSpPr>
      <xdr:spPr>
        <a:xfrm>
          <a:off x="1568767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85725</xdr:colOff>
      <xdr:row>5</xdr:row>
      <xdr:rowOff>139700</xdr:rowOff>
    </xdr:from>
    <xdr:to>
      <xdr:col>29</xdr:col>
      <xdr:colOff>549275</xdr:colOff>
      <xdr:row>7</xdr:row>
      <xdr:rowOff>114300</xdr:rowOff>
    </xdr:to>
    <xdr:sp macro="" textlink="Dashboard!$AF$7">
      <xdr:nvSpPr>
        <xdr:cNvPr id="34" name="TextBox 33"/>
        <xdr:cNvSpPr txBox="1"/>
      </xdr:nvSpPr>
      <xdr:spPr>
        <a:xfrm>
          <a:off x="1568767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CA25DC0D-9C33-44F4-938B-B77C8E557FA3}" type="TxLink">
            <a:rPr lang="en-US" sz="2800" b="1" i="0" u="none" strike="noStrike">
              <a:solidFill>
                <a:srgbClr val="054A19"/>
              </a:solidFill>
              <a:latin typeface="Aptos"/>
            </a:rPr>
            <a:t>44K</a:t>
          </a:fld>
          <a:endParaRPr lang="en-IN" sz="2800" b="1">
            <a:solidFill>
              <a:srgbClr val="054A19"/>
            </a:solidFill>
          </a:endParaRPr>
        </a:p>
      </xdr:txBody>
    </xdr:sp>
    <xdr:clientData/>
  </xdr:twoCellAnchor>
  <xdr:twoCellAnchor>
    <xdr:from>
      <xdr:col>26</xdr:col>
      <xdr:colOff>85725</xdr:colOff>
      <xdr:row>7</xdr:row>
      <xdr:rowOff>50800</xdr:rowOff>
    </xdr:from>
    <xdr:to>
      <xdr:col>29</xdr:col>
      <xdr:colOff>549275</xdr:colOff>
      <xdr:row>7</xdr:row>
      <xdr:rowOff>215900</xdr:rowOff>
    </xdr:to>
    <xdr:sp macro="" textlink="">
      <xdr:nvSpPr>
        <xdr:cNvPr id="35" name="TextBox 34"/>
        <xdr:cNvSpPr txBox="1"/>
      </xdr:nvSpPr>
      <xdr:spPr>
        <a:xfrm>
          <a:off x="1568767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29936</xdr:colOff>
      <xdr:row>8</xdr:row>
      <xdr:rowOff>227239</xdr:rowOff>
    </xdr:from>
    <xdr:to>
      <xdr:col>30</xdr:col>
      <xdr:colOff>40821</xdr:colOff>
      <xdr:row>13</xdr:row>
      <xdr:rowOff>213632</xdr:rowOff>
    </xdr:to>
    <mc:AlternateContent xmlns:mc="http://schemas.openxmlformats.org/markup-compatibility/2006">
      <mc:Choice xmlns:a14="http://schemas.microsoft.com/office/drawing/2010/main" Requires="a14">
        <xdr:graphicFrame macro="">
          <xdr:nvGraphicFramePr>
            <xdr:cNvPr id="41"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201650" y="2200275"/>
              <a:ext cx="480060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29936</xdr:colOff>
      <xdr:row>13</xdr:row>
      <xdr:rowOff>213632</xdr:rowOff>
    </xdr:from>
    <xdr:to>
      <xdr:col>30</xdr:col>
      <xdr:colOff>40821</xdr:colOff>
      <xdr:row>17</xdr:row>
      <xdr:rowOff>202746</xdr:rowOff>
    </xdr:to>
    <mc:AlternateContent xmlns:mc="http://schemas.openxmlformats.org/markup-compatibility/2006">
      <mc:Choice xmlns:a14="http://schemas.microsoft.com/office/drawing/2010/main" Requires="a14">
        <xdr:graphicFrame macro="">
          <xdr:nvGraphicFramePr>
            <xdr:cNvPr id="42"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3201650" y="3343275"/>
              <a:ext cx="480060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14</xdr:col>
      <xdr:colOff>38100</xdr:colOff>
      <xdr:row>3</xdr:row>
      <xdr:rowOff>171450</xdr:rowOff>
    </xdr:from>
    <xdr:to>
      <xdr:col>16</xdr:col>
      <xdr:colOff>542925</xdr:colOff>
      <xdr:row>5</xdr:row>
      <xdr:rowOff>161925</xdr:rowOff>
    </xdr:to>
    <xdr:sp macro="[0]!BuildExpensesDashboard" textlink="">
      <xdr:nvSpPr>
        <xdr:cNvPr id="2" name="Rectangle 1"/>
        <xdr:cNvSpPr/>
      </xdr:nvSpPr>
      <xdr:spPr>
        <a:xfrm>
          <a:off x="16621125" y="723900"/>
          <a:ext cx="1876425" cy="35242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IN" sz="1300" b="1" u="sng">
              <a:latin typeface="Algerian" panose="04020705040A02060702" pitchFamily="82" charset="0"/>
            </a:rPr>
            <a:t>BUILD </a:t>
          </a:r>
          <a:r>
            <a:rPr lang="en-US" sz="1300" b="1" u="sng">
              <a:latin typeface="Algerian" panose="04020705040A02060702" pitchFamily="82" charset="0"/>
            </a:rPr>
            <a:t>DASHBOARD</a:t>
          </a:r>
          <a:endParaRPr lang="en-IN" sz="1300" b="1" u="sng">
            <a:latin typeface="Algerian" panose="04020705040A02060702" pitchFamily="82"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ccounts" refreshedDate="46212.523914583333" createdVersion="3" refreshedVersion="5" minRefreshableVersion="3" recordCount="415">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_BudgetVsActual" cacheId="115" applyNumberFormats="0" applyBorderFormats="0" applyFontFormats="0" applyPatternFormats="0" applyAlignmentFormats="0" applyWidthHeightFormats="1" dataCaption="Values" updatedVersion="5" minRefreshableVersion="3" showCalcMbrs="0" useAutoFormatting="1" itemPrintTitles="1" createdVersion="3" indent="0" compact="0" compactData="0" multipleFieldFilters="0">
  <location ref="D25:F33" firstHeaderRow="1" firstDataRow="2"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dataField name="Sum of Budget Allocated" fld="8" baseField="0" baseItem="0"/>
  </dataFields>
  <formats count="11">
    <format dxfId="10">
      <pivotArea outline="0" collapsedLevelsAreSubtotals="1" fieldPosition="0"/>
    </format>
    <format dxfId="9">
      <pivotArea type="all" dataOnly="0" outline="0" fieldPosition="0"/>
    </format>
    <format dxfId="8">
      <pivotArea outline="0" collapsedLevelsAreSubtotals="1" fieldPosition="0"/>
    </format>
    <format dxfId="7">
      <pivotArea dataOnly="0" labelOnly="1" outline="0" fieldPosition="0">
        <references count="1">
          <reference field="2" count="0"/>
        </references>
      </pivotArea>
    </format>
    <format dxfId="6">
      <pivotArea dataOnly="0" labelOnly="1" grandRow="1" outline="0" fieldPosition="0"/>
    </format>
    <format dxfId="5">
      <pivotArea dataOnly="0" labelOnly="1" outline="0" fieldPosition="0">
        <references count="1">
          <reference field="4294967294" count="2">
            <x v="0"/>
            <x v="1"/>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2" count="0"/>
        </references>
      </pivotArea>
    </format>
    <format dxfId="1">
      <pivotArea dataOnly="0" labelOnly="1" grandRow="1" outline="0" fieldPosition="0"/>
    </format>
    <format dxfId="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T_PaymentMethod" cacheId="115" applyNumberFormats="0" applyBorderFormats="0" applyFontFormats="0" applyPatternFormats="0" applyAlignmentFormats="0" applyWidthHeightFormats="1" dataCaption="Values" updatedVersion="5" minRefreshableVersion="3" showCalcMbrs="0" useAutoFormatting="1" itemPrintTitles="1" createdVersion="3"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3">
    <format dxfId="23">
      <pivotArea outline="0" collapsedLevelsAreSubtotals="1" fieldPosition="0"/>
    </format>
    <format dxfId="22">
      <pivotArea type="all" dataOnly="0" outline="0" fieldPosition="0"/>
    </format>
    <format dxfId="21">
      <pivotArea outline="0" collapsedLevelsAreSubtotals="1" fieldPosition="0"/>
    </format>
    <format dxfId="20">
      <pivotArea field="6" type="button" dataOnly="0" labelOnly="1" outline="0" axis="axisRow" fieldPosition="0"/>
    </format>
    <format dxfId="19">
      <pivotArea dataOnly="0" labelOnly="1" outline="0" axis="axisValues" fieldPosition="0"/>
    </format>
    <format dxfId="18">
      <pivotArea dataOnly="0" labelOnly="1" outline="0" fieldPosition="0">
        <references count="1">
          <reference field="6" count="0"/>
        </references>
      </pivotArea>
    </format>
    <format dxfId="17">
      <pivotArea dataOnly="0" labelOnly="1" grandRow="1" outline="0" fieldPosition="0"/>
    </format>
    <format dxfId="16">
      <pivotArea type="all" dataOnly="0" outline="0" fieldPosition="0"/>
    </format>
    <format dxfId="15">
      <pivotArea outline="0" collapsedLevelsAreSubtotals="1" fieldPosition="0"/>
    </format>
    <format dxfId="14">
      <pivotArea field="6" type="button" dataOnly="0" labelOnly="1" outline="0" axis="axisRow" fieldPosition="0"/>
    </format>
    <format dxfId="13">
      <pivotArea dataOnly="0" labelOnly="1" outline="0" axis="axisValues" fieldPosition="0"/>
    </format>
    <format dxfId="12">
      <pivotArea dataOnly="0" labelOnly="1" outline="0" fieldPosition="0">
        <references count="1">
          <reference field="6" count="0"/>
        </references>
      </pivotArea>
    </format>
    <format dxfId="11">
      <pivotArea dataOnly="0" labelOnly="1" grandRow="1" outline="0" fieldPosition="0"/>
    </format>
  </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KPI" cacheId="115"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dataField name="Sum of Budget Allocated" fld="8" baseField="0" baseItem="0"/>
    <dataField name="Sum of Budget Remaining" fld="9" baseField="0" baseItem="0"/>
    <dataField name="Count of Expense ID" fld="0" subtotal="count" baseField="0" baseItem="0" numFmtId="3"/>
  </dataFields>
  <formats count="8">
    <format dxfId="31">
      <pivotArea outline="0" collapsedLevelsAreSubtotals="1" fieldPosition="0"/>
    </format>
    <format dxfId="30">
      <pivotArea outline="0" collapsedLevelsAreSubtotals="1" fieldPosition="0">
        <references count="1">
          <reference field="4294967294" count="1" selected="0">
            <x v="3"/>
          </reference>
        </references>
      </pivotArea>
    </format>
    <format dxfId="29">
      <pivotArea type="all" dataOnly="0" outline="0" fieldPosition="0"/>
    </format>
    <format dxfId="28">
      <pivotArea outline="0" collapsedLevelsAreSubtotals="1" fieldPosition="0"/>
    </format>
    <format dxfId="27">
      <pivotArea dataOnly="0" labelOnly="1" outline="0" fieldPosition="0">
        <references count="1">
          <reference field="4294967294" count="4">
            <x v="0"/>
            <x v="1"/>
            <x v="2"/>
            <x v="3"/>
          </reference>
        </references>
      </pivotArea>
    </format>
    <format dxfId="26">
      <pivotArea type="all" dataOnly="0" outline="0" fieldPosition="0"/>
    </format>
    <format dxfId="25">
      <pivotArea outline="0" collapsedLevelsAreSubtotals="1" fieldPosition="0"/>
    </format>
    <format dxfId="24">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ApprovedStatus" cacheId="115" applyNumberFormats="0" applyBorderFormats="0" applyFontFormats="0" applyPatternFormats="0" applyAlignmentFormats="0" applyWidthHeightFormats="1" dataCaption="Values" updatedVersion="5"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dataField name="Count of Expense ID" fld="0" subtotal="count" baseField="0" baseItem="0"/>
  </dataFields>
  <formats count="2">
    <format dxfId="33">
      <pivotArea outline="0" collapsedLevelsAreSubtotals="1" fieldPosition="0">
        <references count="2">
          <reference field="4294967294" count="1" selected="0">
            <x v="0"/>
          </reference>
          <reference field="7" count="0" selected="0"/>
        </references>
      </pivotArea>
    </format>
    <format dxfId="32">
      <pivotArea outline="0" collapsedLevelsAreSubtotals="1"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PT_MonthlyTrend" cacheId="115" applyNumberFormats="0" applyBorderFormats="0" applyFontFormats="0" applyPatternFormats="0" applyAlignmentFormats="0" applyWidthHeightFormats="1" dataCaption="Values" updatedVersion="5" minRefreshableVersion="3" showCalcMbrs="0" useAutoFormatting="1" itemPrintTitles="1" createdVersion="3"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3">
    <format dxfId="46">
      <pivotArea outline="0" collapsedLevelsAreSubtotals="1" fieldPosition="0"/>
    </format>
    <format dxfId="45">
      <pivotArea type="all" dataOnly="0" outline="0" fieldPosition="0"/>
    </format>
    <format dxfId="44">
      <pivotArea outline="0" collapsedLevelsAreSubtotals="1" fieldPosition="0"/>
    </format>
    <format dxfId="43">
      <pivotArea field="12" type="button" dataOnly="0" labelOnly="1" outline="0" axis="axisRow" fieldPosition="0"/>
    </format>
    <format dxfId="42">
      <pivotArea dataOnly="0" labelOnly="1" outline="0" axis="axisValues" fieldPosition="0"/>
    </format>
    <format dxfId="41">
      <pivotArea dataOnly="0" labelOnly="1" outline="0" fieldPosition="0">
        <references count="1">
          <reference field="12" count="0"/>
        </references>
      </pivotArea>
    </format>
    <format dxfId="40">
      <pivotArea dataOnly="0" labelOnly="1" grandRow="1" outline="0" fieldPosition="0"/>
    </format>
    <format dxfId="39">
      <pivotArea type="all" dataOnly="0" outline="0" fieldPosition="0"/>
    </format>
    <format dxfId="38">
      <pivotArea outline="0" collapsedLevelsAreSubtotals="1" fieldPosition="0"/>
    </format>
    <format dxfId="37">
      <pivotArea field="12" type="button" dataOnly="0" labelOnly="1" outline="0" axis="axisRow" fieldPosition="0"/>
    </format>
    <format dxfId="36">
      <pivotArea dataOnly="0" labelOnly="1" outline="0" axis="axisValues" fieldPosition="0"/>
    </format>
    <format dxfId="35">
      <pivotArea dataOnly="0" labelOnly="1" outline="0" fieldPosition="0">
        <references count="1">
          <reference field="12" count="0"/>
        </references>
      </pivotArea>
    </format>
    <format dxfId="34">
      <pivotArea dataOnly="0" labelOnly="1" grandRow="1" outline="0" fieldPosition="0"/>
    </format>
  </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PT_ExpenseByCategory" cacheId="115" applyNumberFormats="0" applyBorderFormats="0" applyFontFormats="0" applyPatternFormats="0" applyAlignmentFormats="0" applyWidthHeightFormats="1" dataCaption="Values" updatedVersion="5" minRefreshableVersion="3" showCalcMbrs="0" useAutoFormatting="1" itemPrintTitles="1" createdVersion="3"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3">
    <format dxfId="59">
      <pivotArea outline="0" collapsedLevelsAreSubtotals="1" fieldPosition="0"/>
    </format>
    <format dxfId="58">
      <pivotArea type="all" dataOnly="0" outline="0" fieldPosition="0"/>
    </format>
    <format dxfId="57">
      <pivotArea outline="0" collapsedLevelsAreSubtotals="1" fieldPosition="0"/>
    </format>
    <format dxfId="56">
      <pivotArea field="3" type="button" dataOnly="0" labelOnly="1" outline="0" axis="axisRow" fieldPosition="0"/>
    </format>
    <format dxfId="55">
      <pivotArea dataOnly="0" labelOnly="1" outline="0" axis="axisValues" fieldPosition="0"/>
    </format>
    <format dxfId="54">
      <pivotArea dataOnly="0" labelOnly="1" outline="0" fieldPosition="0">
        <references count="1">
          <reference field="3" count="0"/>
        </references>
      </pivotArea>
    </format>
    <format dxfId="53">
      <pivotArea dataOnly="0" labelOnly="1" grandRow="1" outline="0" fieldPosition="0"/>
    </format>
    <format dxfId="52">
      <pivotArea type="all" dataOnly="0" outline="0" fieldPosition="0"/>
    </format>
    <format dxfId="51">
      <pivotArea outline="0" collapsedLevelsAreSubtotals="1" fieldPosition="0"/>
    </format>
    <format dxfId="50">
      <pivotArea field="3" type="button" dataOnly="0" labelOnly="1" outline="0" axis="axisRow" fieldPosition="0"/>
    </format>
    <format dxfId="49">
      <pivotArea dataOnly="0" labelOnly="1" outline="0" axis="axisValues" fieldPosition="0"/>
    </format>
    <format dxfId="48">
      <pivotArea dataOnly="0" labelOnly="1" outline="0" fieldPosition="0">
        <references count="1">
          <reference field="3" count="0"/>
        </references>
      </pivotArea>
    </format>
    <format dxfId="47">
      <pivotArea dataOnly="0" labelOnly="1" grandRow="1" outline="0" fieldPosition="0"/>
    </format>
  </formats>
  <pivotTableStyleInfo name="PivotStyleLight16" showRowHeaders="1" showColHeaders="1" showRowStripes="0" showColStripes="0" showLastColumn="1"/>
</pivotTableDefinition>
</file>

<file path=xl/pivotTables/pivotTable7.xml><?xml version="1.0" encoding="utf-8"?>
<pivotTableDefinition xmlns="http://schemas.openxmlformats.org/spreadsheetml/2006/main" name="PT_ExpenseByDepartment" cacheId="115" applyNumberFormats="0" applyBorderFormats="0" applyFontFormats="0" applyPatternFormats="0" applyAlignmentFormats="0" applyWidthHeightFormats="1" dataCaption="Values" updatedVersion="5" minRefreshableVersion="3" showCalcMbrs="0" useAutoFormatting="1" itemPrintTitles="1" createdVersion="3"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3">
    <format dxfId="72">
      <pivotArea outline="0" collapsedLevelsAreSubtotals="1" fieldPosition="0"/>
    </format>
    <format dxfId="71">
      <pivotArea type="all" dataOnly="0" outline="0" fieldPosition="0"/>
    </format>
    <format dxfId="70">
      <pivotArea outline="0" collapsedLevelsAreSubtotals="1" fieldPosition="0"/>
    </format>
    <format dxfId="69">
      <pivotArea field="2" type="button" dataOnly="0" labelOnly="1" outline="0" axis="axisRow" fieldPosition="0"/>
    </format>
    <format dxfId="68">
      <pivotArea dataOnly="0" labelOnly="1" outline="0" axis="axisValues" fieldPosition="0"/>
    </format>
    <format dxfId="67">
      <pivotArea dataOnly="0" labelOnly="1" outline="0" fieldPosition="0">
        <references count="1">
          <reference field="2" count="0"/>
        </references>
      </pivotArea>
    </format>
    <format dxfId="66">
      <pivotArea dataOnly="0" labelOnly="1" grandRow="1" outline="0" fieldPosition="0"/>
    </format>
    <format dxfId="65">
      <pivotArea type="all" dataOnly="0" outline="0" fieldPosition="0"/>
    </format>
    <format dxfId="64">
      <pivotArea outline="0" collapsedLevelsAreSubtotals="1" fieldPosition="0"/>
    </format>
    <format dxfId="63">
      <pivotArea field="2" type="button" dataOnly="0" labelOnly="1" outline="0" axis="axisRow" fieldPosition="0"/>
    </format>
    <format dxfId="62">
      <pivotArea dataOnly="0" labelOnly="1" outline="0" axis="axisValues" fieldPosition="0"/>
    </format>
    <format dxfId="61">
      <pivotArea dataOnly="0" labelOnly="1" outline="0" fieldPosition="0">
        <references count="1">
          <reference field="2" count="0"/>
        </references>
      </pivotArea>
    </format>
    <format dxfId="60">
      <pivotArea dataOnly="0" labelOnly="1" grandRow="1" outline="0" fieldPosition="0"/>
    </format>
  </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4" name="PT_ExpenseByDepartment"/>
    <pivotTable tabId="4" name="PT_ExpenseByCategory"/>
    <pivotTable tabId="4" name="PT_MonthlyTrend"/>
    <pivotTable tabId="4" name="PT_ApprovedStatus"/>
    <pivotTable tabId="4" name="PT_KPI"/>
    <pivotTable tabId="4" name="PT_PaymentMethod"/>
    <pivotTable tabId="4" name="PT_BudgetVsActual"/>
  </pivotTables>
  <data>
    <tabular pivotCacheId="1">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4" name="PT_ExpenseByDepartment"/>
    <pivotTable tabId="4" name="PT_ExpenseByCategory"/>
    <pivotTable tabId="4" name="PT_MonthlyTrend"/>
    <pivotTable tabId="4" name="PT_ApprovedStatus"/>
    <pivotTable tabId="4" name="PT_KPI"/>
    <pivotTable tabId="4" name="PT_PaymentMethod"/>
    <pivotTable tabId="4" name="PT_BudgetVsActual"/>
  </pivotTables>
  <data>
    <tabular pivotCacheId="1">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4" style="SlicerStyleLight6" rowHeight="241300"/>
  <slicer name="Department" cache="Slicer_Department" caption="Department" columnCount="6" style="SlicerStyleLight6" rowHeight="241300"/>
</slicers>
</file>

<file path=xl/tables/table1.xml><?xml version="1.0" encoding="utf-8"?>
<table xmlns="http://schemas.openxmlformats.org/spreadsheetml/2006/main" id="1" name="tblExpenses" displayName="tblExpenses" ref="A1:M416" totalsRowShown="0" headerRowDxfId="73">
  <autoFilter ref="A1:M416"/>
  <tableColumns count="13">
    <tableColumn id="1" name="Expense ID"/>
    <tableColumn id="2" name="Date" dataDxfId="77"/>
    <tableColumn id="3" name="Department"/>
    <tableColumn id="4" name="Category"/>
    <tableColumn id="5" name="Description"/>
    <tableColumn id="6" name="Amount (INR)" dataDxfId="76"/>
    <tableColumn id="7" name="Payment Method"/>
    <tableColumn id="8" name="Approved"/>
    <tableColumn id="9" name="Budget Allocated" dataDxfId="75"/>
    <tableColumn id="10" name="Budget Remaining" dataDxfId="74"/>
    <tableColumn id="11" name="Vendor Name"/>
    <tableColumn id="12" name="Invoice Number"/>
    <tableColumn id="13"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F29"/>
  <sheetViews>
    <sheetView showGridLines="0" zoomScale="70" zoomScaleNormal="70" workbookViewId="0"/>
  </sheetViews>
  <sheetFormatPr defaultRowHeight="12.75"/>
  <cols>
    <col min="1" max="30" width="7.875" style="11" customWidth="1"/>
    <col min="31" max="31" width="9" style="11"/>
    <col min="32" max="33" width="0" style="11" hidden="1" customWidth="1"/>
    <col min="34" max="16384" width="9" style="11"/>
  </cols>
  <sheetData>
    <row r="1" spans="1:32" ht="21.95" customHeight="1">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row>
    <row r="2" spans="1:32" ht="21.95" customHeight="1">
      <c r="A2" s="1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F2" s="12">
        <f>IFERROR(GETPIVOTDATA("Sum of Amount (INR)",Pivot!$M$3),0)</f>
        <v>18405183</v>
      </c>
    </row>
    <row r="3" spans="1:32" ht="21.95" customHeight="1">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F3" s="12">
        <f>IFERROR(GETPIVOTDATA("Sum of Budget Allocated",Pivot!$M$3),0)</f>
        <v>22953950</v>
      </c>
    </row>
    <row r="4" spans="1:32" ht="18" customHeight="1">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F4" s="12">
        <f>IFERROR(GETPIVOTDATA("Sum of Budget Remaining",Pivot!$M$3),0)</f>
        <v>4548767</v>
      </c>
    </row>
    <row r="5" spans="1:32" ht="18" customHeight="1">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F5" s="13">
        <f>IFERROR(GETPIVOTDATA("Count of Expense ID",Pivot!$M$3),0)</f>
        <v>415</v>
      </c>
    </row>
    <row r="6" spans="1:32" ht="18" customHeight="1">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F6" s="14">
        <f>IFERROR(GETPIVOTDATA("Count of Expense ID",Pivot!$J$3,"Approved","Yes")/AF5,0)</f>
        <v>0.81445783132530125</v>
      </c>
    </row>
    <row r="7" spans="1:32" ht="18" customHeight="1">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F7" s="12">
        <f>IFERROR(AF2/AF5,0)</f>
        <v>44349.838554216869</v>
      </c>
    </row>
    <row r="8" spans="1:32" ht="18" customHeight="1">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row>
    <row r="9" spans="1:32" ht="18" customHeight="1">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row>
    <row r="10" spans="1:32" ht="18" customHeight="1">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row>
    <row r="11" spans="1:32" ht="18" customHeight="1">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row>
    <row r="12" spans="1:32" ht="18" customHeight="1">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row>
    <row r="13" spans="1:32" ht="18" customHeight="1">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row>
    <row r="14" spans="1:32" ht="18" customHeight="1">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row>
    <row r="15" spans="1:32" ht="18" customHeight="1">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row>
    <row r="16" spans="1:32" ht="18" customHeight="1">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ht="18" customHeight="1">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ht="18" customHeight="1">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ht="18" customHeight="1">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ht="18" customHeight="1">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ht="18" customHeight="1">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ht="18" customHeight="1">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ht="18" customHeight="1">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ht="18" customHeight="1">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ht="18" customHeight="1">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ht="18" customHeight="1">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ht="18" customHeight="1">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ht="18" customHeight="1">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8" customHeight="1">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sheetData>
  <pageMargins left="0.7" right="0.7" top="0.75" bottom="0.75" header="0.3" footer="0.3"/>
  <pageSetup paperSize="256" orientation="portrait" horizontalDpi="203" verticalDpi="203"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416"/>
  <sheetViews>
    <sheetView tabSelected="1" topLeftCell="B1" workbookViewId="0">
      <selection activeCell="P9" sqref="P9"/>
    </sheetView>
  </sheetViews>
  <sheetFormatPr defaultRowHeight="14.25"/>
  <cols>
    <col min="1" max="1" width="13" bestFit="1" customWidth="1"/>
    <col min="2" max="2" width="11.5" bestFit="1" customWidth="1"/>
    <col min="3" max="3" width="13.25" bestFit="1" customWidth="1"/>
    <col min="4" max="4" width="13.375" bestFit="1" customWidth="1"/>
    <col min="5" max="5" width="32.5" bestFit="1" customWidth="1"/>
    <col min="6" max="6" width="14.5" bestFit="1" customWidth="1"/>
    <col min="7" max="7" width="17.75" bestFit="1" customWidth="1"/>
    <col min="8" max="8" width="11.5" bestFit="1" customWidth="1"/>
    <col min="9" max="9" width="18.125" bestFit="1" customWidth="1"/>
    <col min="10" max="10" width="19.5" bestFit="1" customWidth="1"/>
    <col min="11" max="11" width="18.125" bestFit="1" customWidth="1"/>
    <col min="12" max="12" width="17" bestFit="1" customWidth="1"/>
    <col min="13" max="13" width="8.5" bestFit="1" customWidth="1"/>
  </cols>
  <sheetData>
    <row r="1" spans="1:13" s="3" customFormat="1" ht="15">
      <c r="A1" s="3" t="s">
        <v>0</v>
      </c>
      <c r="B1" s="3" t="s">
        <v>1</v>
      </c>
      <c r="C1" s="3" t="s">
        <v>2</v>
      </c>
      <c r="D1" s="3" t="s">
        <v>3</v>
      </c>
      <c r="E1" s="3" t="s">
        <v>4</v>
      </c>
      <c r="F1" s="3" t="s">
        <v>5</v>
      </c>
      <c r="G1" s="3" t="s">
        <v>6</v>
      </c>
      <c r="H1" s="3" t="s">
        <v>7</v>
      </c>
      <c r="I1" s="3" t="s">
        <v>8</v>
      </c>
      <c r="J1" s="3" t="s">
        <v>9</v>
      </c>
      <c r="K1" s="3" t="s">
        <v>10</v>
      </c>
      <c r="L1" s="3" t="s">
        <v>11</v>
      </c>
      <c r="M1" s="3" t="s">
        <v>918</v>
      </c>
    </row>
    <row r="2" spans="1:13">
      <c r="A2" t="s">
        <v>12</v>
      </c>
      <c r="B2" s="1">
        <v>45682</v>
      </c>
      <c r="C2" t="s">
        <v>13</v>
      </c>
      <c r="D2" t="s">
        <v>14</v>
      </c>
      <c r="E2" t="s">
        <v>15</v>
      </c>
      <c r="F2" s="2">
        <v>7099</v>
      </c>
      <c r="G2" t="s">
        <v>16</v>
      </c>
      <c r="H2" t="s">
        <v>17</v>
      </c>
      <c r="I2" s="2">
        <v>8386</v>
      </c>
      <c r="J2" s="2">
        <v>1287</v>
      </c>
      <c r="K2" t="s">
        <v>18</v>
      </c>
      <c r="L2" t="s">
        <v>19</v>
      </c>
      <c r="M2" t="str">
        <f>TEXT(tblExpenses[[#This Row],[Date]],"mmm")</f>
        <v>Jan</v>
      </c>
    </row>
    <row r="3" spans="1:13">
      <c r="A3" t="s">
        <v>20</v>
      </c>
      <c r="B3" s="1">
        <v>45677</v>
      </c>
      <c r="C3" t="s">
        <v>13</v>
      </c>
      <c r="D3" t="s">
        <v>21</v>
      </c>
      <c r="E3" t="s">
        <v>22</v>
      </c>
      <c r="F3" s="2">
        <v>37909</v>
      </c>
      <c r="G3" t="s">
        <v>23</v>
      </c>
      <c r="H3" t="s">
        <v>17</v>
      </c>
      <c r="I3" s="2">
        <v>39147</v>
      </c>
      <c r="J3" s="2">
        <v>1238</v>
      </c>
      <c r="K3" t="s">
        <v>18</v>
      </c>
      <c r="L3" t="s">
        <v>24</v>
      </c>
      <c r="M3" t="str">
        <f>TEXT(tblExpenses[[#This Row],[Date]],"mmm")</f>
        <v>Jan</v>
      </c>
    </row>
    <row r="4" spans="1:13">
      <c r="A4" t="s">
        <v>25</v>
      </c>
      <c r="B4" s="1">
        <v>45665</v>
      </c>
      <c r="C4" t="s">
        <v>13</v>
      </c>
      <c r="D4" t="s">
        <v>26</v>
      </c>
      <c r="E4" t="s">
        <v>27</v>
      </c>
      <c r="F4" s="2">
        <v>5729</v>
      </c>
      <c r="G4" t="s">
        <v>16</v>
      </c>
      <c r="H4" t="s">
        <v>17</v>
      </c>
      <c r="I4" s="2">
        <v>8391</v>
      </c>
      <c r="J4" s="2">
        <v>2662</v>
      </c>
      <c r="K4" t="s">
        <v>28</v>
      </c>
      <c r="L4" t="s">
        <v>29</v>
      </c>
      <c r="M4" t="str">
        <f>TEXT(tblExpenses[[#This Row],[Date]],"mmm")</f>
        <v>Jan</v>
      </c>
    </row>
    <row r="5" spans="1:13">
      <c r="A5" t="s">
        <v>30</v>
      </c>
      <c r="B5" s="1">
        <v>45660</v>
      </c>
      <c r="C5" t="s">
        <v>21</v>
      </c>
      <c r="D5" t="s">
        <v>31</v>
      </c>
      <c r="E5" t="s">
        <v>32</v>
      </c>
      <c r="F5" s="2">
        <v>21974</v>
      </c>
      <c r="G5" t="s">
        <v>16</v>
      </c>
      <c r="H5" t="s">
        <v>17</v>
      </c>
      <c r="I5" s="2">
        <v>22502</v>
      </c>
      <c r="J5" s="2">
        <v>528</v>
      </c>
      <c r="K5" t="s">
        <v>33</v>
      </c>
      <c r="L5" t="s">
        <v>34</v>
      </c>
      <c r="M5" t="str">
        <f>TEXT(tblExpenses[[#This Row],[Date]],"mmm")</f>
        <v>Jan</v>
      </c>
    </row>
    <row r="6" spans="1:13">
      <c r="A6" t="s">
        <v>35</v>
      </c>
      <c r="B6" s="1">
        <v>45682</v>
      </c>
      <c r="C6" t="s">
        <v>21</v>
      </c>
      <c r="D6" t="s">
        <v>36</v>
      </c>
      <c r="E6" t="s">
        <v>37</v>
      </c>
      <c r="F6" s="2">
        <v>70564</v>
      </c>
      <c r="G6" t="s">
        <v>38</v>
      </c>
      <c r="H6" t="s">
        <v>17</v>
      </c>
      <c r="I6" s="2">
        <v>77440</v>
      </c>
      <c r="J6" s="2">
        <v>6876</v>
      </c>
      <c r="K6" t="s">
        <v>39</v>
      </c>
      <c r="L6" t="s">
        <v>40</v>
      </c>
      <c r="M6" t="str">
        <f>TEXT(tblExpenses[[#This Row],[Date]],"mmm")</f>
        <v>Jan</v>
      </c>
    </row>
    <row r="7" spans="1:13">
      <c r="A7" t="s">
        <v>41</v>
      </c>
      <c r="B7" s="1">
        <v>45681</v>
      </c>
      <c r="C7" t="s">
        <v>21</v>
      </c>
      <c r="D7" t="s">
        <v>14</v>
      </c>
      <c r="E7" t="s">
        <v>42</v>
      </c>
      <c r="F7" s="2">
        <v>23713</v>
      </c>
      <c r="G7" t="s">
        <v>23</v>
      </c>
      <c r="H7" t="s">
        <v>43</v>
      </c>
      <c r="I7" s="2">
        <v>28542</v>
      </c>
      <c r="J7" s="2">
        <v>4829</v>
      </c>
      <c r="K7" t="s">
        <v>39</v>
      </c>
      <c r="L7" t="s">
        <v>44</v>
      </c>
      <c r="M7" t="str">
        <f>TEXT(tblExpenses[[#This Row],[Date]],"mmm")</f>
        <v>Jan</v>
      </c>
    </row>
    <row r="8" spans="1:13">
      <c r="A8" t="s">
        <v>45</v>
      </c>
      <c r="B8" s="1">
        <v>45685</v>
      </c>
      <c r="C8" t="s">
        <v>46</v>
      </c>
      <c r="D8" t="s">
        <v>36</v>
      </c>
      <c r="E8" t="s">
        <v>47</v>
      </c>
      <c r="F8" s="2">
        <v>67515</v>
      </c>
      <c r="G8" t="s">
        <v>23</v>
      </c>
      <c r="H8" t="s">
        <v>17</v>
      </c>
      <c r="I8" s="2">
        <v>87309</v>
      </c>
      <c r="J8" s="2">
        <v>19794</v>
      </c>
      <c r="K8" t="s">
        <v>39</v>
      </c>
      <c r="L8" t="s">
        <v>48</v>
      </c>
      <c r="M8" t="str">
        <f>TEXT(tblExpenses[[#This Row],[Date]],"mmm")</f>
        <v>Jan</v>
      </c>
    </row>
    <row r="9" spans="1:13">
      <c r="A9" t="s">
        <v>49</v>
      </c>
      <c r="B9" s="1">
        <v>45660</v>
      </c>
      <c r="C9" t="s">
        <v>46</v>
      </c>
      <c r="D9" t="s">
        <v>31</v>
      </c>
      <c r="E9" t="s">
        <v>50</v>
      </c>
      <c r="F9" s="2">
        <v>30644</v>
      </c>
      <c r="G9" t="s">
        <v>51</v>
      </c>
      <c r="H9" t="s">
        <v>17</v>
      </c>
      <c r="I9" s="2">
        <v>44207</v>
      </c>
      <c r="J9" s="2">
        <v>13563</v>
      </c>
      <c r="K9" t="s">
        <v>39</v>
      </c>
      <c r="L9" t="s">
        <v>52</v>
      </c>
      <c r="M9" t="str">
        <f>TEXT(tblExpenses[[#This Row],[Date]],"mmm")</f>
        <v>Jan</v>
      </c>
    </row>
    <row r="10" spans="1:13">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pageSetup paperSize="256" orientation="portrait" horizontalDpi="203" verticalDpi="20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P62"/>
  <sheetViews>
    <sheetView workbookViewId="0"/>
  </sheetViews>
  <sheetFormatPr defaultRowHeight="14.25"/>
  <cols>
    <col min="1" max="1" width="12.125" customWidth="1"/>
    <col min="2" max="2" width="17.625" customWidth="1"/>
    <col min="4" max="4" width="11.75" customWidth="1"/>
    <col min="5" max="5" width="17.625" customWidth="1"/>
    <col min="6" max="6" width="20.875" bestFit="1" customWidth="1"/>
    <col min="7" max="7" width="10.25" customWidth="1"/>
    <col min="8" max="8" width="17.625" customWidth="1"/>
    <col min="10" max="10" width="11.5" customWidth="1"/>
    <col min="11" max="12" width="19.375" bestFit="1" customWidth="1"/>
    <col min="13" max="13" width="17.625" customWidth="1"/>
    <col min="14" max="14" width="20.875" customWidth="1"/>
    <col min="15" max="15" width="22.125" customWidth="1"/>
    <col min="16" max="16" width="17.125" customWidth="1"/>
  </cols>
  <sheetData>
    <row r="3" spans="1:16">
      <c r="A3" s="6" t="s">
        <v>2</v>
      </c>
      <c r="B3" s="7" t="s">
        <v>920</v>
      </c>
      <c r="D3" s="6" t="s">
        <v>3</v>
      </c>
      <c r="E3" s="7" t="s">
        <v>920</v>
      </c>
      <c r="G3" s="6" t="s">
        <v>918</v>
      </c>
      <c r="H3" s="7" t="s">
        <v>920</v>
      </c>
      <c r="K3" s="4" t="s">
        <v>933</v>
      </c>
      <c r="M3" s="6" t="s">
        <v>933</v>
      </c>
      <c r="N3" s="7"/>
      <c r="O3" s="7"/>
      <c r="P3" s="7"/>
    </row>
    <row r="4" spans="1:16">
      <c r="A4" s="7" t="s">
        <v>13</v>
      </c>
      <c r="B4" s="8">
        <v>3366315</v>
      </c>
      <c r="D4" s="7" t="s">
        <v>31</v>
      </c>
      <c r="E4" s="8">
        <v>6030171</v>
      </c>
      <c r="G4" s="7" t="s">
        <v>921</v>
      </c>
      <c r="H4" s="8">
        <v>1379978</v>
      </c>
      <c r="J4" s="4" t="s">
        <v>7</v>
      </c>
      <c r="K4" t="s">
        <v>920</v>
      </c>
      <c r="L4" t="s">
        <v>934</v>
      </c>
      <c r="M4" s="7" t="s">
        <v>920</v>
      </c>
      <c r="N4" s="7" t="s">
        <v>935</v>
      </c>
      <c r="O4" s="7" t="s">
        <v>936</v>
      </c>
      <c r="P4" s="7" t="s">
        <v>934</v>
      </c>
    </row>
    <row r="5" spans="1:16">
      <c r="A5" s="7" t="s">
        <v>92</v>
      </c>
      <c r="B5" s="8">
        <v>2611075</v>
      </c>
      <c r="D5" s="7" t="s">
        <v>36</v>
      </c>
      <c r="E5" s="8">
        <v>3671418</v>
      </c>
      <c r="G5" s="7" t="s">
        <v>922</v>
      </c>
      <c r="H5" s="8">
        <v>1058599</v>
      </c>
      <c r="J5" t="s">
        <v>43</v>
      </c>
      <c r="K5" s="2">
        <v>3628179</v>
      </c>
      <c r="L5" s="9">
        <v>77</v>
      </c>
      <c r="M5" s="8">
        <v>18405183</v>
      </c>
      <c r="N5" s="8">
        <v>22953950</v>
      </c>
      <c r="O5" s="8">
        <v>4548767</v>
      </c>
      <c r="P5" s="10">
        <v>415</v>
      </c>
    </row>
    <row r="6" spans="1:16">
      <c r="A6" s="7" t="s">
        <v>72</v>
      </c>
      <c r="B6" s="8">
        <v>3616924</v>
      </c>
      <c r="D6" s="7" t="s">
        <v>21</v>
      </c>
      <c r="E6" s="8">
        <v>3505155</v>
      </c>
      <c r="G6" s="7" t="s">
        <v>923</v>
      </c>
      <c r="H6" s="8">
        <v>1179601</v>
      </c>
      <c r="J6" t="s">
        <v>17</v>
      </c>
      <c r="K6" s="2">
        <v>14777004</v>
      </c>
      <c r="L6" s="9">
        <v>338</v>
      </c>
    </row>
    <row r="7" spans="1:16">
      <c r="A7" s="7" t="s">
        <v>21</v>
      </c>
      <c r="B7" s="8">
        <v>3010276</v>
      </c>
      <c r="D7" s="7" t="s">
        <v>26</v>
      </c>
      <c r="E7" s="8">
        <v>208093</v>
      </c>
      <c r="G7" s="7" t="s">
        <v>924</v>
      </c>
      <c r="H7" s="8">
        <v>1317668</v>
      </c>
      <c r="J7" t="s">
        <v>919</v>
      </c>
      <c r="K7" s="5">
        <v>18405183</v>
      </c>
      <c r="L7" s="5">
        <v>415</v>
      </c>
    </row>
    <row r="8" spans="1:16">
      <c r="A8" s="7" t="s">
        <v>114</v>
      </c>
      <c r="B8" s="8">
        <v>3346621</v>
      </c>
      <c r="D8" s="7" t="s">
        <v>14</v>
      </c>
      <c r="E8" s="8">
        <v>1743238</v>
      </c>
      <c r="G8" s="7" t="s">
        <v>925</v>
      </c>
      <c r="H8" s="8">
        <v>1780658</v>
      </c>
    </row>
    <row r="9" spans="1:16">
      <c r="A9" s="7" t="s">
        <v>46</v>
      </c>
      <c r="B9" s="8">
        <v>2453972</v>
      </c>
      <c r="D9" s="7" t="s">
        <v>132</v>
      </c>
      <c r="E9" s="8">
        <v>772840</v>
      </c>
      <c r="G9" s="7" t="s">
        <v>926</v>
      </c>
      <c r="H9" s="8">
        <v>1286080</v>
      </c>
    </row>
    <row r="10" spans="1:16">
      <c r="A10" s="7" t="s">
        <v>919</v>
      </c>
      <c r="B10" s="8">
        <v>18405183</v>
      </c>
      <c r="D10" s="7" t="s">
        <v>58</v>
      </c>
      <c r="E10" s="8">
        <v>2023948</v>
      </c>
      <c r="G10" s="7" t="s">
        <v>927</v>
      </c>
      <c r="H10" s="8">
        <v>2119404</v>
      </c>
    </row>
    <row r="11" spans="1:16">
      <c r="D11" s="7" t="s">
        <v>54</v>
      </c>
      <c r="E11" s="8">
        <v>450320</v>
      </c>
      <c r="G11" s="7" t="s">
        <v>928</v>
      </c>
      <c r="H11" s="8">
        <v>1669539</v>
      </c>
    </row>
    <row r="12" spans="1:16">
      <c r="D12" s="7" t="s">
        <v>919</v>
      </c>
      <c r="E12" s="8">
        <v>18405183</v>
      </c>
      <c r="G12" s="7" t="s">
        <v>929</v>
      </c>
      <c r="H12" s="8">
        <v>1913484</v>
      </c>
    </row>
    <row r="13" spans="1:16">
      <c r="G13" s="7" t="s">
        <v>930</v>
      </c>
      <c r="H13" s="8">
        <v>1365637</v>
      </c>
    </row>
    <row r="14" spans="1:16">
      <c r="G14" s="7" t="s">
        <v>931</v>
      </c>
      <c r="H14" s="8">
        <v>1795988</v>
      </c>
    </row>
    <row r="15" spans="1:16">
      <c r="G15" s="7" t="s">
        <v>932</v>
      </c>
      <c r="H15" s="8">
        <v>1538547</v>
      </c>
    </row>
    <row r="16" spans="1:16">
      <c r="G16" s="7" t="s">
        <v>919</v>
      </c>
      <c r="H16" s="8">
        <v>18405183</v>
      </c>
    </row>
    <row r="25" spans="1:6">
      <c r="A25" s="6" t="s">
        <v>6</v>
      </c>
      <c r="B25" s="7" t="s">
        <v>920</v>
      </c>
      <c r="D25" s="7"/>
      <c r="E25" s="6" t="s">
        <v>933</v>
      </c>
      <c r="F25" s="7"/>
    </row>
    <row r="26" spans="1:6">
      <c r="A26" s="7" t="s">
        <v>51</v>
      </c>
      <c r="B26" s="8">
        <v>4908988</v>
      </c>
      <c r="D26" s="6" t="s">
        <v>2</v>
      </c>
      <c r="E26" s="7" t="s">
        <v>937</v>
      </c>
      <c r="F26" s="7" t="s">
        <v>935</v>
      </c>
    </row>
    <row r="27" spans="1:6">
      <c r="A27" s="7" t="s">
        <v>16</v>
      </c>
      <c r="B27" s="8">
        <v>4388835</v>
      </c>
      <c r="D27" s="7" t="s">
        <v>13</v>
      </c>
      <c r="E27" s="8">
        <v>3366315</v>
      </c>
      <c r="F27" s="8">
        <v>4162201</v>
      </c>
    </row>
    <row r="28" spans="1:6">
      <c r="A28" s="7" t="s">
        <v>38</v>
      </c>
      <c r="B28" s="8">
        <v>5477461</v>
      </c>
      <c r="D28" s="7" t="s">
        <v>92</v>
      </c>
      <c r="E28" s="8">
        <v>2611075</v>
      </c>
      <c r="F28" s="8">
        <v>3159110</v>
      </c>
    </row>
    <row r="29" spans="1:6">
      <c r="A29" s="7" t="s">
        <v>23</v>
      </c>
      <c r="B29" s="8">
        <v>3629899</v>
      </c>
      <c r="D29" s="7" t="s">
        <v>72</v>
      </c>
      <c r="E29" s="8">
        <v>3616924</v>
      </c>
      <c r="F29" s="8">
        <v>4425089</v>
      </c>
    </row>
    <row r="30" spans="1:6">
      <c r="A30" s="7" t="s">
        <v>919</v>
      </c>
      <c r="B30" s="8">
        <v>18405183</v>
      </c>
      <c r="D30" s="7" t="s">
        <v>21</v>
      </c>
      <c r="E30" s="8">
        <v>3010276</v>
      </c>
      <c r="F30" s="8">
        <v>3898633</v>
      </c>
    </row>
    <row r="31" spans="1:6">
      <c r="D31" s="7" t="s">
        <v>114</v>
      </c>
      <c r="E31" s="8">
        <v>3346621</v>
      </c>
      <c r="F31" s="8">
        <v>4160632</v>
      </c>
    </row>
    <row r="32" spans="1:6">
      <c r="D32" s="7" t="s">
        <v>46</v>
      </c>
      <c r="E32" s="8">
        <v>2453972</v>
      </c>
      <c r="F32" s="8">
        <v>3148285</v>
      </c>
    </row>
    <row r="33" spans="4:6">
      <c r="D33" s="7" t="s">
        <v>919</v>
      </c>
      <c r="E33" s="8">
        <v>18405183</v>
      </c>
      <c r="F33" s="8">
        <v>22953950</v>
      </c>
    </row>
    <row r="50" spans="1:15">
      <c r="A50" t="s">
        <v>2</v>
      </c>
      <c r="B50" t="s">
        <v>938</v>
      </c>
      <c r="D50" t="s">
        <v>3</v>
      </c>
      <c r="E50" t="s">
        <v>938</v>
      </c>
      <c r="G50" t="s">
        <v>918</v>
      </c>
      <c r="H50" t="s">
        <v>938</v>
      </c>
      <c r="J50" t="s">
        <v>6</v>
      </c>
      <c r="K50" t="s">
        <v>938</v>
      </c>
      <c r="M50" t="s">
        <v>2</v>
      </c>
      <c r="N50" t="s">
        <v>937</v>
      </c>
      <c r="O50" t="s">
        <v>8</v>
      </c>
    </row>
    <row r="51" spans="1:15">
      <c r="A51" t="str">
        <f>Pivot!$A$4</f>
        <v>Engineering</v>
      </c>
      <c r="B51" s="2">
        <f>Pivot!$B$4</f>
        <v>3366315</v>
      </c>
      <c r="D51" t="str">
        <f>Pivot!$D$4</f>
        <v>Consulting</v>
      </c>
      <c r="E51" s="2">
        <f>Pivot!$E$4</f>
        <v>6030171</v>
      </c>
      <c r="G51" t="str">
        <f>Pivot!$G$4</f>
        <v>Jan</v>
      </c>
      <c r="H51" s="2">
        <f>Pivot!$H$4</f>
        <v>1379978</v>
      </c>
      <c r="J51" t="str">
        <f>Pivot!$A$26</f>
        <v>Bank Transfer</v>
      </c>
      <c r="K51" s="2">
        <f>Pivot!$B$26</f>
        <v>4908988</v>
      </c>
      <c r="M51" t="str">
        <f>Pivot!$D$27</f>
        <v>Engineering</v>
      </c>
      <c r="N51" s="2">
        <f>Pivot!$E$27</f>
        <v>3366315</v>
      </c>
      <c r="O51" s="2">
        <f>Pivot!$F$27</f>
        <v>4162201</v>
      </c>
    </row>
    <row r="52" spans="1:15">
      <c r="A52" t="str">
        <f>Pivot!$A$5</f>
        <v>Finance</v>
      </c>
      <c r="B52" s="2">
        <f>Pivot!$B$5</f>
        <v>2611075</v>
      </c>
      <c r="D52" t="str">
        <f>Pivot!$D$5</f>
        <v>Equipment</v>
      </c>
      <c r="E52" s="2">
        <f>Pivot!$E$5</f>
        <v>3671418</v>
      </c>
      <c r="G52" t="str">
        <f>Pivot!$G$5</f>
        <v>Feb</v>
      </c>
      <c r="H52" s="2">
        <f>Pivot!$H$5</f>
        <v>1058599</v>
      </c>
      <c r="J52" t="str">
        <f>Pivot!$A$27</f>
        <v>Cash</v>
      </c>
      <c r="K52" s="2">
        <f>Pivot!$B$27</f>
        <v>4388835</v>
      </c>
      <c r="M52" t="str">
        <f>Pivot!$D$28</f>
        <v>Finance</v>
      </c>
      <c r="N52" s="2">
        <f>Pivot!$E$28</f>
        <v>2611075</v>
      </c>
      <c r="O52" s="2">
        <f>Pivot!$F$28</f>
        <v>3159110</v>
      </c>
    </row>
    <row r="53" spans="1:15">
      <c r="A53" t="str">
        <f>Pivot!$A$6</f>
        <v>HR</v>
      </c>
      <c r="B53" s="2">
        <f>Pivot!$B$6</f>
        <v>3616924</v>
      </c>
      <c r="D53" t="str">
        <f>Pivot!$D$6</f>
        <v>Marketing</v>
      </c>
      <c r="E53" s="2">
        <f>Pivot!$E$6</f>
        <v>3505155</v>
      </c>
      <c r="G53" t="str">
        <f>Pivot!$G$6</f>
        <v>Mar</v>
      </c>
      <c r="H53" s="2">
        <f>Pivot!$H$6</f>
        <v>1179601</v>
      </c>
      <c r="J53" t="str">
        <f>Pivot!$A$28</f>
        <v>Cheque</v>
      </c>
      <c r="K53" s="2">
        <f>Pivot!$B$28</f>
        <v>5477461</v>
      </c>
      <c r="M53" t="str">
        <f>Pivot!$D$29</f>
        <v>HR</v>
      </c>
      <c r="N53" s="2">
        <f>Pivot!$E$29</f>
        <v>3616924</v>
      </c>
      <c r="O53" s="2">
        <f>Pivot!$F$29</f>
        <v>4425089</v>
      </c>
    </row>
    <row r="54" spans="1:15">
      <c r="A54" t="str">
        <f>Pivot!$A$7</f>
        <v>Marketing</v>
      </c>
      <c r="B54" s="2">
        <f>Pivot!$B$7</f>
        <v>3010276</v>
      </c>
      <c r="D54" t="str">
        <f>Pivot!$D$7</f>
        <v>Office Supplies</v>
      </c>
      <c r="E54" s="2">
        <f>Pivot!$E$7</f>
        <v>208093</v>
      </c>
      <c r="G54" t="str">
        <f>Pivot!$G$7</f>
        <v>Apr</v>
      </c>
      <c r="H54" s="2">
        <f>Pivot!$H$7</f>
        <v>1317668</v>
      </c>
      <c r="J54" t="str">
        <f>Pivot!$A$29</f>
        <v>Credit Card</v>
      </c>
      <c r="K54" s="2">
        <f>Pivot!$B$29</f>
        <v>3629899</v>
      </c>
      <c r="M54" t="str">
        <f>Pivot!$D$30</f>
        <v>Marketing</v>
      </c>
      <c r="N54" s="2">
        <f>Pivot!$E$30</f>
        <v>3010276</v>
      </c>
      <c r="O54" s="2">
        <f>Pivot!$F$30</f>
        <v>3898633</v>
      </c>
    </row>
    <row r="55" spans="1:15">
      <c r="A55" t="str">
        <f>Pivot!$A$8</f>
        <v>Operations</v>
      </c>
      <c r="B55" s="2">
        <f>Pivot!$B$8</f>
        <v>3346621</v>
      </c>
      <c r="D55" t="str">
        <f>Pivot!$D$8</f>
        <v>Software</v>
      </c>
      <c r="E55" s="2">
        <f>Pivot!$E$8</f>
        <v>1743238</v>
      </c>
      <c r="G55" t="str">
        <f>Pivot!$G$8</f>
        <v>May</v>
      </c>
      <c r="H55" s="2">
        <f>Pivot!$H$8</f>
        <v>1780658</v>
      </c>
      <c r="M55" t="str">
        <f>Pivot!$D$31</f>
        <v>Operations</v>
      </c>
      <c r="N55" s="2">
        <f>Pivot!$E$31</f>
        <v>3346621</v>
      </c>
      <c r="O55" s="2">
        <f>Pivot!$F$31</f>
        <v>4160632</v>
      </c>
    </row>
    <row r="56" spans="1:15">
      <c r="A56" t="str">
        <f>Pivot!$A$9</f>
        <v>Sales</v>
      </c>
      <c r="B56" s="2">
        <f>Pivot!$B$9</f>
        <v>2453972</v>
      </c>
      <c r="D56" t="str">
        <f>Pivot!$D$9</f>
        <v>Training</v>
      </c>
      <c r="E56" s="2">
        <f>Pivot!$E$9</f>
        <v>772840</v>
      </c>
      <c r="G56" t="str">
        <f>Pivot!$G$9</f>
        <v>Jun</v>
      </c>
      <c r="H56" s="2">
        <f>Pivot!$H$9</f>
        <v>1286080</v>
      </c>
      <c r="M56" t="str">
        <f>Pivot!$D$32</f>
        <v>Sales</v>
      </c>
      <c r="N56" s="2">
        <f>Pivot!$E$32</f>
        <v>2453972</v>
      </c>
      <c r="O56" s="2">
        <f>Pivot!$F$32</f>
        <v>3148285</v>
      </c>
    </row>
    <row r="57" spans="1:15">
      <c r="D57" t="str">
        <f>Pivot!$D$10</f>
        <v>Travel</v>
      </c>
      <c r="E57" s="2">
        <f>Pivot!$E$10</f>
        <v>2023948</v>
      </c>
      <c r="G57" t="str">
        <f>Pivot!$G$10</f>
        <v>Jul</v>
      </c>
      <c r="H57" s="2">
        <f>Pivot!$H$10</f>
        <v>2119404</v>
      </c>
    </row>
    <row r="58" spans="1:15">
      <c r="D58" t="str">
        <f>Pivot!$D$11</f>
        <v>Utilities</v>
      </c>
      <c r="E58" s="2">
        <f>Pivot!$E$11</f>
        <v>450320</v>
      </c>
      <c r="G58" t="str">
        <f>Pivot!$G$11</f>
        <v>Aug</v>
      </c>
      <c r="H58" s="2">
        <f>Pivot!$H$11</f>
        <v>1669539</v>
      </c>
    </row>
    <row r="59" spans="1:15">
      <c r="G59" t="str">
        <f>Pivot!$G$12</f>
        <v>Sep</v>
      </c>
      <c r="H59" s="2">
        <f>Pivot!$H$12</f>
        <v>1913484</v>
      </c>
    </row>
    <row r="60" spans="1:15">
      <c r="G60" t="str">
        <f>Pivot!$G$13</f>
        <v>Oct</v>
      </c>
      <c r="H60" s="2">
        <f>Pivot!$H$13</f>
        <v>1365637</v>
      </c>
    </row>
    <row r="61" spans="1:15">
      <c r="G61" t="str">
        <f>Pivot!$G$14</f>
        <v>Nov</v>
      </c>
      <c r="H61" s="2">
        <f>Pivot!$H$14</f>
        <v>1795988</v>
      </c>
    </row>
    <row r="62" spans="1:15">
      <c r="G62" t="str">
        <f>Pivot!$G$15</f>
        <v>Dec</v>
      </c>
      <c r="H62" s="2">
        <f>Pivot!$H$15</f>
        <v>1538547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2.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3.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Accounts</cp:lastModifiedBy>
  <dcterms:created xsi:type="dcterms:W3CDTF">2026-05-19T08:07:04Z</dcterms:created>
  <dcterms:modified xsi:type="dcterms:W3CDTF">2026-07-09T07:05:56Z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